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Descargas\"/>
    </mc:Choice>
  </mc:AlternateContent>
  <xr:revisionPtr revIDLastSave="0" documentId="13_ncr:1_{C2F59BFF-21C2-47BC-9A6F-21F254A80B0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os" sheetId="1" r:id="rId1"/>
    <sheet name="FACTURAS PROVEEDORES DOCUMENTOS" sheetId="3" r:id="rId2"/>
    <sheet name="FACTURAS PROVEEDORES RESULTADOS" sheetId="2" r:id="rId3"/>
  </sheets>
  <definedNames>
    <definedName name="_xlnm._FilterDatabase" localSheetId="0" hidden="1">Datos!$A$1:$O$108</definedName>
    <definedName name="_xlnm._FilterDatabase" localSheetId="1" hidden="1">'FACTURAS PROVEEDORES DOCUMENTOS'!$A$1:$P$41</definedName>
    <definedName name="_xlnm._FilterDatabase" localSheetId="2" hidden="1">'FACTURAS PROVEEDORES RESULTADOS'!$A$1:$W$41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2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2" i="3"/>
  <c r="R41" i="2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Q42" i="3" l="1"/>
</calcChain>
</file>

<file path=xl/sharedStrings.xml><?xml version="1.0" encoding="utf-8"?>
<sst xmlns="http://schemas.openxmlformats.org/spreadsheetml/2006/main" count="2526" uniqueCount="984">
  <si>
    <t>comp_tipo</t>
  </si>
  <si>
    <t>comp_categoria</t>
  </si>
  <si>
    <t>comp_proveedor</t>
  </si>
  <si>
    <t>comp_ocCliente</t>
  </si>
  <si>
    <t>comp_ocProveedor</t>
  </si>
  <si>
    <t>comp_descripcion</t>
  </si>
  <si>
    <t>comp_numeroDocumento</t>
  </si>
  <si>
    <t>comp_fechaEmision</t>
  </si>
  <si>
    <t>comp_fechaVencimiento</t>
  </si>
  <si>
    <t>comp_fechaEnvio</t>
  </si>
  <si>
    <t>comp_valorSinIGV</t>
  </si>
  <si>
    <t>comp_igv</t>
  </si>
  <si>
    <t>comp_moneda</t>
  </si>
  <si>
    <t>comp_pdf</t>
  </si>
  <si>
    <t>TRAZA</t>
  </si>
  <si>
    <t>Factura</t>
  </si>
  <si>
    <t>Costos equipo</t>
  </si>
  <si>
    <t xml:space="preserve">AFP PRIMA </t>
  </si>
  <si>
    <t/>
  </si>
  <si>
    <t>pago AFP de la planilla agosto 2025- prima -habitat</t>
  </si>
  <si>
    <t>5496453883 / 6496453786</t>
  </si>
  <si>
    <t>2025-09-12 15:33:00</t>
  </si>
  <si>
    <t>2025-09-12 15:31:00</t>
  </si>
  <si>
    <t>938.10</t>
  </si>
  <si>
    <t>0.00</t>
  </si>
  <si>
    <t>PEN</t>
  </si>
  <si>
    <t>FileStore/2025-10-09/HIvdxEwujD.zip</t>
  </si>
  <si>
    <t>408</t>
  </si>
  <si>
    <t>Varios</t>
  </si>
  <si>
    <t>BCP BANCO DE CREDITO</t>
  </si>
  <si>
    <t xml:space="preserve">PAGO  X MANTENIMIENTO
</t>
  </si>
  <si>
    <t>FV18-01153381</t>
  </si>
  <si>
    <t>2025-09-06 15:29:00</t>
  </si>
  <si>
    <t>28.00</t>
  </si>
  <si>
    <t>FileStore/2025-09-09/SbgIs5wpoQ.pdf</t>
  </si>
  <si>
    <t>596</t>
  </si>
  <si>
    <t xml:space="preserve">PAGO X CARGO  COMISION Y PORTES
</t>
  </si>
  <si>
    <t>FI01-16606114</t>
  </si>
  <si>
    <t>2025-09-05 15:36:00</t>
  </si>
  <si>
    <t>2025-09-05 15:35:00</t>
  </si>
  <si>
    <t>40.50</t>
  </si>
  <si>
    <t>FileStore/2025-09-09/MJYySIiCo7.pdf</t>
  </si>
  <si>
    <t>597</t>
  </si>
  <si>
    <t>PAGO X CARGO COMISION Y PORTES</t>
  </si>
  <si>
    <t xml:space="preserve"> FI01-16491926</t>
  </si>
  <si>
    <t>2025-09-05 15:39:00</t>
  </si>
  <si>
    <t>2025-09-05 15:38:00</t>
  </si>
  <si>
    <t>15.00</t>
  </si>
  <si>
    <t>USD</t>
  </si>
  <si>
    <t>FileStore/2025-09-09/f1AnVcJ8D5.pdf</t>
  </si>
  <si>
    <t>598</t>
  </si>
  <si>
    <t xml:space="preserve">PAGO X MANTENIMIENTO 
</t>
  </si>
  <si>
    <t>FV19-01161518</t>
  </si>
  <si>
    <t>2025-09-06 15:43:00</t>
  </si>
  <si>
    <t>2025-09-06 15:42:00</t>
  </si>
  <si>
    <t>6.98</t>
  </si>
  <si>
    <t>FileStore/2025-09-09/NGnxq7WuFa.pdf</t>
  </si>
  <si>
    <t>599</t>
  </si>
  <si>
    <t xml:space="preserve">CONCEPTO DE PAGO: COMISION
</t>
  </si>
  <si>
    <t xml:space="preserve"> FN01-37024868</t>
  </si>
  <si>
    <t>2025-09-16 15:44:00</t>
  </si>
  <si>
    <t>2025-09-16 15:43:00</t>
  </si>
  <si>
    <t>10.00</t>
  </si>
  <si>
    <t>FileStore/2025-09-18/9mH21sz8Ip.pdf</t>
  </si>
  <si>
    <t>600</t>
  </si>
  <si>
    <t>Proveedor</t>
  </si>
  <si>
    <t>TECNODROME SANTANA E.I.R.L</t>
  </si>
  <si>
    <t>OC3164F270825</t>
  </si>
  <si>
    <t>R2025-1105 TECNODROME SANTANA EIRL</t>
  </si>
  <si>
    <t>E001-790</t>
  </si>
  <si>
    <t>2025-09-17 09:23:00</t>
  </si>
  <si>
    <t>2025-08-27 10:58:00</t>
  </si>
  <si>
    <t>44.07</t>
  </si>
  <si>
    <t>7.93</t>
  </si>
  <si>
    <t>FileStore/2025-09-18/Ujqy4DwfXI.pdf</t>
  </si>
  <si>
    <t>622</t>
  </si>
  <si>
    <t>Rengifo mendoza frida  (jhonathan)</t>
  </si>
  <si>
    <t>OC3175F300825</t>
  </si>
  <si>
    <t>R2025-603 TACOS</t>
  </si>
  <si>
    <t>E001-116</t>
  </si>
  <si>
    <t>2025-09-03 18:18:00</t>
  </si>
  <si>
    <t>729.04</t>
  </si>
  <si>
    <t>131.22</t>
  </si>
  <si>
    <t>FileStore/2025-09-03/8pKqNBd0HI.pdf</t>
  </si>
  <si>
    <t>649</t>
  </si>
  <si>
    <t>Nimrod logistic sac -  lima car store</t>
  </si>
  <si>
    <t>OC3176F010925</t>
  </si>
  <si>
    <t>R2025-947</t>
  </si>
  <si>
    <t>E001 4566</t>
  </si>
  <si>
    <t>2025-09-01 11:49:00</t>
  </si>
  <si>
    <t>50.85</t>
  </si>
  <si>
    <t>9.15</t>
  </si>
  <si>
    <t>FileStore/2025-09-05/v13LDybaE6.pdf</t>
  </si>
  <si>
    <t>652</t>
  </si>
  <si>
    <t>AYM NEGOCIOS SAC</t>
  </si>
  <si>
    <t>OC3184F020925</t>
  </si>
  <si>
    <t xml:space="preserve">R2025-1160
</t>
  </si>
  <si>
    <t>E001 1747</t>
  </si>
  <si>
    <t>2025-09-02 14:31:00</t>
  </si>
  <si>
    <t>88.96</t>
  </si>
  <si>
    <t>16.01</t>
  </si>
  <si>
    <t>FileStore/2025-09-05/1P8IK39MCV.pdf</t>
  </si>
  <si>
    <t>653</t>
  </si>
  <si>
    <t>PJ FARMA - REG 0098301</t>
  </si>
  <si>
    <t>OC3177F010925</t>
  </si>
  <si>
    <t>R2025-1161 Stock para 20 Botiquines</t>
  </si>
  <si>
    <t xml:space="preserve">F002 9661
</t>
  </si>
  <si>
    <t>2025-09-03 11:57:00</t>
  </si>
  <si>
    <t>840.76</t>
  </si>
  <si>
    <t>151.34</t>
  </si>
  <si>
    <t>FileStore/2025-09-03/kdJFumo8i9.pdf</t>
  </si>
  <si>
    <t>663</t>
  </si>
  <si>
    <t>Cliente</t>
  </si>
  <si>
    <t>3100435014 JUEGO DE RUEDAS AMAZON</t>
  </si>
  <si>
    <t>R2025-1093   EG07-1385</t>
  </si>
  <si>
    <t xml:space="preserve">E001-1731 </t>
  </si>
  <si>
    <t>2025-09-04 15:13:00</t>
  </si>
  <si>
    <t>2025-10-04 15:13:00</t>
  </si>
  <si>
    <t>160.00</t>
  </si>
  <si>
    <t>28.80</t>
  </si>
  <si>
    <t>FileStore/2025-09-04/CM8YzSQwLe.pdf</t>
  </si>
  <si>
    <t>664</t>
  </si>
  <si>
    <t>3100431128  Juego de destornilladores</t>
  </si>
  <si>
    <t xml:space="preserve">E001-1732 </t>
  </si>
  <si>
    <t>2025-09-04 15:31:00</t>
  </si>
  <si>
    <t>2025-10-04 15:31:00</t>
  </si>
  <si>
    <t>221.00</t>
  </si>
  <si>
    <t>39.78</t>
  </si>
  <si>
    <t>FileStore/2025-09-04/QBry0Slu2Z.pdf</t>
  </si>
  <si>
    <t>665</t>
  </si>
  <si>
    <t>4510008601  KINETINA</t>
  </si>
  <si>
    <t>R2025-1085V1   EG07-1383</t>
  </si>
  <si>
    <t xml:space="preserve">E001-1733 </t>
  </si>
  <si>
    <t>2025-09-04 15:51:00</t>
  </si>
  <si>
    <t>2025-10-04 15:51:00</t>
  </si>
  <si>
    <t>324.88</t>
  </si>
  <si>
    <t>58.48</t>
  </si>
  <si>
    <t>FileStore/2025-09-04/pNgs3PChWM.pdf</t>
  </si>
  <si>
    <t>666</t>
  </si>
  <si>
    <t>Implementos peru sac</t>
  </si>
  <si>
    <t>OC3186F040925</t>
  </si>
  <si>
    <t>R2025-1178 IMPLEMENTOS PERU SAC</t>
  </si>
  <si>
    <t>F037 50140</t>
  </si>
  <si>
    <t>2025-09-05 15:54:00</t>
  </si>
  <si>
    <t>894.41</t>
  </si>
  <si>
    <t>160.99</t>
  </si>
  <si>
    <t>FileStore/2025-09-05/QScYlyGIR3.pdf</t>
  </si>
  <si>
    <t>667</t>
  </si>
  <si>
    <t>3100436026 bandejas HUDE x 40</t>
  </si>
  <si>
    <t>R2025-1112</t>
  </si>
  <si>
    <t>E001-1734</t>
  </si>
  <si>
    <t>2025-09-04 16:05:00</t>
  </si>
  <si>
    <t>2025-10-04 16:05:00</t>
  </si>
  <si>
    <t>420.00</t>
  </si>
  <si>
    <t>75.60</t>
  </si>
  <si>
    <t>FileStore/2025-09-04/vkFJAS15LU.pdf</t>
  </si>
  <si>
    <t>668</t>
  </si>
  <si>
    <t>3100428498 Dado Estriado 4 set 2025</t>
  </si>
  <si>
    <t>R2025-943   EG07-1384</t>
  </si>
  <si>
    <t xml:space="preserve">E001-1735 </t>
  </si>
  <si>
    <t>2025-09-04 16:29:00</t>
  </si>
  <si>
    <t>2025-10-04 16:29:00</t>
  </si>
  <si>
    <t>470.00</t>
  </si>
  <si>
    <t>84.60</t>
  </si>
  <si>
    <t>FileStore/2025-09-04/WtIsUTckr3.pdf</t>
  </si>
  <si>
    <t>669</t>
  </si>
  <si>
    <t>4510008551 vivero farmex</t>
  </si>
  <si>
    <t>R2025-1105V1  EG07-1390</t>
  </si>
  <si>
    <t xml:space="preserve">E001-1737 </t>
  </si>
  <si>
    <t>2025-09-05 12:06:00</t>
  </si>
  <si>
    <t>2025-10-04 12:06:00</t>
  </si>
  <si>
    <t>1769.20</t>
  </si>
  <si>
    <t>318.46</t>
  </si>
  <si>
    <t>FileStore/2025-09-05/RksTwZUand.pdf</t>
  </si>
  <si>
    <t>670</t>
  </si>
  <si>
    <t>R2025-1105V1  EG07-1389</t>
  </si>
  <si>
    <t xml:space="preserve">E001-1736 </t>
  </si>
  <si>
    <t>2025-09-05 12:10:00</t>
  </si>
  <si>
    <t>2025-10-04 12:10:00</t>
  </si>
  <si>
    <t>1550.10</t>
  </si>
  <si>
    <t>279.02</t>
  </si>
  <si>
    <t>FileStore/2025-09-05/TleydM9WGw.pdf</t>
  </si>
  <si>
    <t>671</t>
  </si>
  <si>
    <t>OC3188F050925</t>
  </si>
  <si>
    <t xml:space="preserve">R2025-1195 IMPLEMENTOS PERU SAC
</t>
  </si>
  <si>
    <t>F037 50152</t>
  </si>
  <si>
    <t>2025-09-05 12:19:00</t>
  </si>
  <si>
    <t>596.28</t>
  </si>
  <si>
    <t>107.33</t>
  </si>
  <si>
    <t>FileStore/2025-09-05/9d0m5sRPCl.pdf</t>
  </si>
  <si>
    <t>672</t>
  </si>
  <si>
    <t>Mcco international - dólares</t>
  </si>
  <si>
    <t>OC3190F060925</t>
  </si>
  <si>
    <t>R2025-574 MCCO INTERNATIONAL</t>
  </si>
  <si>
    <t>F001 39343</t>
  </si>
  <si>
    <t>2025-09-08 11:56:00</t>
  </si>
  <si>
    <t>85.50</t>
  </si>
  <si>
    <t>15.39</t>
  </si>
  <si>
    <t>FileStore/2025-09-11/OPQcF7Iw0x.PDF</t>
  </si>
  <si>
    <t>673</t>
  </si>
  <si>
    <t>Panificadora a y l sac - bonpan</t>
  </si>
  <si>
    <t>PASTELES PARA CUMPLEAÑOS AGOSTO</t>
  </si>
  <si>
    <t>FE01 1777</t>
  </si>
  <si>
    <t>2025-09-15 13:06:00</t>
  </si>
  <si>
    <t>2025-09-06 13:06:00</t>
  </si>
  <si>
    <t>20.76</t>
  </si>
  <si>
    <t>3.74</t>
  </si>
  <si>
    <t>FileStore/2025-09-06/V4OjXEwUav.jpeg</t>
  </si>
  <si>
    <t>675</t>
  </si>
  <si>
    <t>Tai loy s. A</t>
  </si>
  <si>
    <t>OC3192F080925</t>
  </si>
  <si>
    <t>R2025-1144// COMPRA DE 18 SALTA SOGAS</t>
  </si>
  <si>
    <t>F533-0437617</t>
  </si>
  <si>
    <t>2025-09-08 13:09:00</t>
  </si>
  <si>
    <t>43.32</t>
  </si>
  <si>
    <t>7.80</t>
  </si>
  <si>
    <t>FileStore/2025-09-22/JiPt6CHEjM.pdf</t>
  </si>
  <si>
    <t>676</t>
  </si>
  <si>
    <t>Pallet de madera aguilar e. I. R. L</t>
  </si>
  <si>
    <t>OC3193F080925</t>
  </si>
  <si>
    <t>R2025-1202 PALLET DE MADERA AGUILAR EIRL</t>
  </si>
  <si>
    <t>E001 169</t>
  </si>
  <si>
    <t>2025-09-22 17:31:00</t>
  </si>
  <si>
    <t>1071.99</t>
  </si>
  <si>
    <t>192.96</t>
  </si>
  <si>
    <t>FileStore/2025-09-22/r1jyMcQL6h.pdf</t>
  </si>
  <si>
    <t>677</t>
  </si>
  <si>
    <t>W y j tools and service sac</t>
  </si>
  <si>
    <t>OC3179F010925</t>
  </si>
  <si>
    <t>R2025-1156</t>
  </si>
  <si>
    <t>F001 10856</t>
  </si>
  <si>
    <t>2025-09-01 17:46:00</t>
  </si>
  <si>
    <t>2025-09-08 17:46:00</t>
  </si>
  <si>
    <t>148.31</t>
  </si>
  <si>
    <t>26.70</t>
  </si>
  <si>
    <t>FileStore/2025-09-08/XbGtpnwhPa.pdf</t>
  </si>
  <si>
    <t>678</t>
  </si>
  <si>
    <t>OC3178F010925</t>
  </si>
  <si>
    <t xml:space="preserve">R2025-1161 </t>
  </si>
  <si>
    <t>F001 10857</t>
  </si>
  <si>
    <t>2025-09-08 19:59:00</t>
  </si>
  <si>
    <t>118.64</t>
  </si>
  <si>
    <t>21.36</t>
  </si>
  <si>
    <t>FileStore/2025-09-08/4mRsk9UEtQ.pdf</t>
  </si>
  <si>
    <t>679</t>
  </si>
  <si>
    <t>OC3180F010925</t>
  </si>
  <si>
    <t>R2025-1161 x 18 kits</t>
  </si>
  <si>
    <t>F001 10869</t>
  </si>
  <si>
    <t>2025-09-02 20:04:00</t>
  </si>
  <si>
    <t>2025-09-08 20:04:00</t>
  </si>
  <si>
    <t>1067.76</t>
  </si>
  <si>
    <t>192.20</t>
  </si>
  <si>
    <t>FileStore/2025-09-08/JPIAtTW2mF.pdf</t>
  </si>
  <si>
    <t>680</t>
  </si>
  <si>
    <t>OC3181F020925</t>
  </si>
  <si>
    <t>R2025-1161</t>
  </si>
  <si>
    <t xml:space="preserve">F001 10868
</t>
  </si>
  <si>
    <t>2025-09-02 20:08:00</t>
  </si>
  <si>
    <t>2025-09-08 20:08:00</t>
  </si>
  <si>
    <t>254.24</t>
  </si>
  <si>
    <t>45.76</t>
  </si>
  <si>
    <t>FileStore/2025-09-08/O7K3pkMsl0.pdf</t>
  </si>
  <si>
    <t>681</t>
  </si>
  <si>
    <t>OC3185F020925</t>
  </si>
  <si>
    <t>R2025-1173 I Kit</t>
  </si>
  <si>
    <t xml:space="preserve">F001 10878
</t>
  </si>
  <si>
    <t>2025-09-02 20:19:00</t>
  </si>
  <si>
    <t>2025-09-08 20:19:00</t>
  </si>
  <si>
    <t>FileStore/2025-09-08/a4Y6QNIiDE.pdf</t>
  </si>
  <si>
    <t>682</t>
  </si>
  <si>
    <t>OC3187F050925</t>
  </si>
  <si>
    <t>R2025-1178</t>
  </si>
  <si>
    <t>F001 10909</t>
  </si>
  <si>
    <t>2025-09-05 20:25:00</t>
  </si>
  <si>
    <t>2025-09-08 20:25:00</t>
  </si>
  <si>
    <t>932.22</t>
  </si>
  <si>
    <t>167.80</t>
  </si>
  <si>
    <t>FileStore/2025-09-08/Kg2TyE38qF.pdf</t>
  </si>
  <si>
    <t>683</t>
  </si>
  <si>
    <t>OC3189F050925</t>
  </si>
  <si>
    <t>R2025-1195</t>
  </si>
  <si>
    <t>F001 10918</t>
  </si>
  <si>
    <t>2025-09-05 20:32:00</t>
  </si>
  <si>
    <t>2025-09-08 20:32:00</t>
  </si>
  <si>
    <t>182.20</t>
  </si>
  <si>
    <t>32.80</t>
  </si>
  <si>
    <t>FileStore/2025-09-08/ynLiUfsomD.pdf</t>
  </si>
  <si>
    <t>684</t>
  </si>
  <si>
    <t>OC3194F080925</t>
  </si>
  <si>
    <t>F001 10919</t>
  </si>
  <si>
    <t>2025-09-08 20:56:00</t>
  </si>
  <si>
    <t>16.95</t>
  </si>
  <si>
    <t>3.05</t>
  </si>
  <si>
    <t>FileStore/2025-09-08/rVwyWO87c5.pdf</t>
  </si>
  <si>
    <t>685</t>
  </si>
  <si>
    <t>3100438664 Kit y Botiquin x 3</t>
  </si>
  <si>
    <t xml:space="preserve">R2025-1156 EG07-1380 / EG07-1381 / EG07-1393 / EG07-1394
</t>
  </si>
  <si>
    <t>E001-1738</t>
  </si>
  <si>
    <t>2025-09-08 21:54:00</t>
  </si>
  <si>
    <t>2025-10-07 21:54:00</t>
  </si>
  <si>
    <t>1662.00</t>
  </si>
  <si>
    <t>299.16</t>
  </si>
  <si>
    <t>FileStore/2025-09-08/zf53YLeFpu.pdf</t>
  </si>
  <si>
    <t>686</t>
  </si>
  <si>
    <t>KITS Y BOTIQUINES STANDARD x 20</t>
  </si>
  <si>
    <t>R2025-1161 20 kita y 20 Bot</t>
  </si>
  <si>
    <t>E001-1740</t>
  </si>
  <si>
    <t>2025-09-08 23:03:00</t>
  </si>
  <si>
    <t>2025-10-08 23:03:00</t>
  </si>
  <si>
    <t>4560.00</t>
  </si>
  <si>
    <t>820.80</t>
  </si>
  <si>
    <t>FileStore/2025-09-08/yDEiM7QPB6.pdf</t>
  </si>
  <si>
    <t>687</t>
  </si>
  <si>
    <t>3100440406 TACO DE Pu 60 TN</t>
  </si>
  <si>
    <t xml:space="preserve">R2025-1111 </t>
  </si>
  <si>
    <t>E001-1741</t>
  </si>
  <si>
    <t>2025-09-08 23:04:00</t>
  </si>
  <si>
    <t>2025-10-08 23:04:00</t>
  </si>
  <si>
    <t>530.00</t>
  </si>
  <si>
    <t>95.40</t>
  </si>
  <si>
    <t>FileStore/2025-09-08/iBl6uYo2IT.pdf</t>
  </si>
  <si>
    <t>688</t>
  </si>
  <si>
    <t>3100431721 Tacho x 240L FALTA MODIFICAR MONEDA</t>
  </si>
  <si>
    <t>R2025-1014</t>
  </si>
  <si>
    <t>E001-1739</t>
  </si>
  <si>
    <t>2025-09-08 23:06:00</t>
  </si>
  <si>
    <t>2025-10-08 23:06:00</t>
  </si>
  <si>
    <t>523.00</t>
  </si>
  <si>
    <t>94.14</t>
  </si>
  <si>
    <t>FileStore/2025-09-08/yRVaWJ1tzG.pdf</t>
  </si>
  <si>
    <t>689</t>
  </si>
  <si>
    <t>OC3195F090925</t>
  </si>
  <si>
    <t xml:space="preserve">R02025-1167 </t>
  </si>
  <si>
    <t>E001 4615</t>
  </si>
  <si>
    <t>2025-09-10 14:25:00</t>
  </si>
  <si>
    <t>322.03</t>
  </si>
  <si>
    <t>57.97</t>
  </si>
  <si>
    <t>FileStore/2025-09-22/WzfRpw5rZQ.pdf</t>
  </si>
  <si>
    <t>690</t>
  </si>
  <si>
    <t>Ohmi import sa</t>
  </si>
  <si>
    <t>OC3196F090925</t>
  </si>
  <si>
    <t xml:space="preserve">R2025-1136
</t>
  </si>
  <si>
    <t xml:space="preserve"> FT04-4999</t>
  </si>
  <si>
    <t>2025-09-09 15:06:00</t>
  </si>
  <si>
    <t>512.91</t>
  </si>
  <si>
    <t>92.32</t>
  </si>
  <si>
    <t>FileStore/2025-09-23/vX064jncsw.pdf</t>
  </si>
  <si>
    <t>691</t>
  </si>
  <si>
    <t>Boleta</t>
  </si>
  <si>
    <t>Logistica</t>
  </si>
  <si>
    <t>Nelson muñoz rios</t>
  </si>
  <si>
    <t>Alquiler de vehiculo Nelson Muñoz -agosto 2025</t>
  </si>
  <si>
    <t xml:space="preserve">CONSTANCIA SUNAT 3011- RENTA 1ERA CATEGOR CUENTA PROPIA </t>
  </si>
  <si>
    <t>2025-09-03 10:43:00</t>
  </si>
  <si>
    <t>2025-09-03 10:39:00</t>
  </si>
  <si>
    <t>360.00</t>
  </si>
  <si>
    <t>18.00</t>
  </si>
  <si>
    <t>FileStore/2025-09-10/hAUwHpjdCx.pdf</t>
  </si>
  <si>
    <t>692</t>
  </si>
  <si>
    <t>Top epp sac</t>
  </si>
  <si>
    <t>OC3199F110925</t>
  </si>
  <si>
    <t>R2025-1114</t>
  </si>
  <si>
    <t>F001 1757</t>
  </si>
  <si>
    <t>2025-09-11 14:21:00</t>
  </si>
  <si>
    <t>720.35</t>
  </si>
  <si>
    <t>129.66</t>
  </si>
  <si>
    <t>FileStore/2025-09-11/oQ46JM8Pcq.pdf</t>
  </si>
  <si>
    <t>694</t>
  </si>
  <si>
    <t>OC3200F110925</t>
  </si>
  <si>
    <t>compra de kit y botiquin</t>
  </si>
  <si>
    <t>F001-00010980</t>
  </si>
  <si>
    <t>2025-09-11 14:49:00</t>
  </si>
  <si>
    <t>233.05</t>
  </si>
  <si>
    <t>41.95</t>
  </si>
  <si>
    <t>FileStore/2025-09-17/I9gRt1WOJw.pdf</t>
  </si>
  <si>
    <t>695</t>
  </si>
  <si>
    <t>ENDEAVANT S.A.C.</t>
  </si>
  <si>
    <t>OC3028F310525</t>
  </si>
  <si>
    <t>E001-329</t>
  </si>
  <si>
    <t>2025-09-11 15:37:00</t>
  </si>
  <si>
    <t>1845.00</t>
  </si>
  <si>
    <t>332.10</t>
  </si>
  <si>
    <t>FileStore/2025-09-11/EosuwvbBt9.pdf</t>
  </si>
  <si>
    <t>696</t>
  </si>
  <si>
    <t>3100441279 solo kit antiderrame x 4 tiamaria</t>
  </si>
  <si>
    <t>R2025-1178V0 EG07-1402</t>
  </si>
  <si>
    <t xml:space="preserve">E001-1743
</t>
  </si>
  <si>
    <t>2025-09-11 20:05:00</t>
  </si>
  <si>
    <t>2025-10-10 20:05:00</t>
  </si>
  <si>
    <t>956.00</t>
  </si>
  <si>
    <t>172.08</t>
  </si>
  <si>
    <t>FileStore/2025-09-11/qsHtbyoVWa.pdf</t>
  </si>
  <si>
    <t>697</t>
  </si>
  <si>
    <t>3100440634</t>
  </si>
  <si>
    <t>R2025-1178V1 EG07-1402 EG07-1403</t>
  </si>
  <si>
    <t xml:space="preserve">E001-1744 
</t>
  </si>
  <si>
    <t>2025-09-11 20:24:00</t>
  </si>
  <si>
    <t>2025-10-10 20:24:00</t>
  </si>
  <si>
    <t>2850.00</t>
  </si>
  <si>
    <t>513.00</t>
  </si>
  <si>
    <t>FileStore/2025-09-11/fwoav3zpLX.pdf</t>
  </si>
  <si>
    <t>698</t>
  </si>
  <si>
    <t>3100439624  kit y botiquin x 1</t>
  </si>
  <si>
    <t>R2025-1173 EG07-1395</t>
  </si>
  <si>
    <t>E001-1742</t>
  </si>
  <si>
    <t>2025-09-11 20:36:00</t>
  </si>
  <si>
    <t>2025-10-09 20:36:00</t>
  </si>
  <si>
    <t>554.00</t>
  </si>
  <si>
    <t>99.72</t>
  </si>
  <si>
    <t>FileStore/2025-09-11/75OHSzwbBv.pdf</t>
  </si>
  <si>
    <t>699</t>
  </si>
  <si>
    <t>3100441218 / PARIHUELAS 2DO USO</t>
  </si>
  <si>
    <t>R2025-1202  EG07-1407</t>
  </si>
  <si>
    <t>E001-1745</t>
  </si>
  <si>
    <t>2025-09-11 20:45:00</t>
  </si>
  <si>
    <t>2025-10-10 20:45:00</t>
  </si>
  <si>
    <t>1849.00</t>
  </si>
  <si>
    <t>332.82</t>
  </si>
  <si>
    <t>FileStore/2025-09-11/R8OoPM5GHu.pdf</t>
  </si>
  <si>
    <t>700</t>
  </si>
  <si>
    <t>3100438227 BAndejas Antiderrame</t>
  </si>
  <si>
    <t>R2025-1114 EG07-1408</t>
  </si>
  <si>
    <t xml:space="preserve">E001-1746 
</t>
  </si>
  <si>
    <t>2025-09-11 21:04:00</t>
  </si>
  <si>
    <t>2025-10-10 21:04:00</t>
  </si>
  <si>
    <t>955.80</t>
  </si>
  <si>
    <t>172.04</t>
  </si>
  <si>
    <t>FileStore/2025-09-11/RiMkw8GpQF.pdf</t>
  </si>
  <si>
    <t>701</t>
  </si>
  <si>
    <t>3100442092 TACOS x 2</t>
  </si>
  <si>
    <t>R2025-1195  EG07-1405</t>
  </si>
  <si>
    <t xml:space="preserve">E001-1747 
</t>
  </si>
  <si>
    <t>2025-09-11 21:22:00</t>
  </si>
  <si>
    <t>2025-10-10 21:22:00</t>
  </si>
  <si>
    <t>FileStore/2025-09-11/fxIPiEgTlu.pdf</t>
  </si>
  <si>
    <t>702</t>
  </si>
  <si>
    <t>3100442171 Kit Antiderrame Quellaveco x 1</t>
  </si>
  <si>
    <t>R2025-1195  EG07-1404</t>
  </si>
  <si>
    <t xml:space="preserve">E001-1748 
</t>
  </si>
  <si>
    <t>2025-09-12 07:06:00</t>
  </si>
  <si>
    <t>2025-10-10 07:06:00</t>
  </si>
  <si>
    <t>64.80</t>
  </si>
  <si>
    <t>FileStore/2025-09-12/q2WpJHzB7i.pdf</t>
  </si>
  <si>
    <t>706</t>
  </si>
  <si>
    <t>3100442369 BOtiquin Quellaveco x 1</t>
  </si>
  <si>
    <t xml:space="preserve">E001-1749 </t>
  </si>
  <si>
    <t>2025-09-12 07:20:00</t>
  </si>
  <si>
    <t>2025-10-10 07:20:00</t>
  </si>
  <si>
    <t>180.00</t>
  </si>
  <si>
    <t>32.40</t>
  </si>
  <si>
    <t>FileStore/2025-09-12/GLO6gpltVf.pdf</t>
  </si>
  <si>
    <t>707</t>
  </si>
  <si>
    <t>WSP CONFIRMACION 05.09</t>
  </si>
  <si>
    <t>R2025-1144   EG07-1406</t>
  </si>
  <si>
    <t xml:space="preserve">E001-1750 </t>
  </si>
  <si>
    <t>2025-09-12 13:15:00</t>
  </si>
  <si>
    <t>2025-10-10 13:15:00</t>
  </si>
  <si>
    <t>206.64</t>
  </si>
  <si>
    <t>37.20</t>
  </si>
  <si>
    <t>FileStore/2025-09-12/hZYCWIqT9t.pdf</t>
  </si>
  <si>
    <t>708</t>
  </si>
  <si>
    <t>Biogenicslab</t>
  </si>
  <si>
    <t>OC3207F120925</t>
  </si>
  <si>
    <t>R2025-1230</t>
  </si>
  <si>
    <t>F001-00020985</t>
  </si>
  <si>
    <t>2025-09-12 14:50:00</t>
  </si>
  <si>
    <t>114.41</t>
  </si>
  <si>
    <t>20.59</t>
  </si>
  <si>
    <t>FileStore/2025-09-26/8id1greQsL.pdf</t>
  </si>
  <si>
    <t>709</t>
  </si>
  <si>
    <t>OC3208F150925</t>
  </si>
  <si>
    <t>R2025-752</t>
  </si>
  <si>
    <t>F001 39455</t>
  </si>
  <si>
    <t>2025-09-16 11:54:00</t>
  </si>
  <si>
    <t>2024-09-16 11:54:00</t>
  </si>
  <si>
    <t>28.50</t>
  </si>
  <si>
    <t>5.13</t>
  </si>
  <si>
    <t>FileStore/2025-09-22/OLZqC1xAtS.pdf</t>
  </si>
  <si>
    <t>710</t>
  </si>
  <si>
    <t>3100440314 CANDADOS ABUS</t>
  </si>
  <si>
    <t>R2025-574   EG07-1411</t>
  </si>
  <si>
    <t xml:space="preserve">E001-1751 </t>
  </si>
  <si>
    <t>2025-09-15 15:43:00</t>
  </si>
  <si>
    <t>2025-10-15 15:43:00</t>
  </si>
  <si>
    <t>145.44</t>
  </si>
  <si>
    <t>26.18</t>
  </si>
  <si>
    <t>FileStore/2025-09-15/lIYmXcnSZo.pdf</t>
  </si>
  <si>
    <t>715</t>
  </si>
  <si>
    <t>3100439052 LUPA OJO 15X</t>
  </si>
  <si>
    <t>R2025-1160   EG07-1410</t>
  </si>
  <si>
    <t xml:space="preserve">E001-1752 </t>
  </si>
  <si>
    <t>2025-09-15 16:17:00</t>
  </si>
  <si>
    <t>2025-10-15 16:17:00</t>
  </si>
  <si>
    <t>240.00</t>
  </si>
  <si>
    <t>43.20</t>
  </si>
  <si>
    <t>FileStore/2025-09-15/UfjYFvQtRr.pdf</t>
  </si>
  <si>
    <t>716</t>
  </si>
  <si>
    <t>4510008985</t>
  </si>
  <si>
    <t>R2025-1230   EG07-1421</t>
  </si>
  <si>
    <t xml:space="preserve">E001-1753 </t>
  </si>
  <si>
    <t>2025-09-15 16:37:00</t>
  </si>
  <si>
    <t>2025-10-15 16:37:00</t>
  </si>
  <si>
    <t>265.00</t>
  </si>
  <si>
    <t>47.70</t>
  </si>
  <si>
    <t>FileStore/2025-09-15/ON4pRFuim1.pdf</t>
  </si>
  <si>
    <t>717</t>
  </si>
  <si>
    <t>3100441250 COMPRESIMETRO</t>
  </si>
  <si>
    <t>R2025-1167   EG07-1420</t>
  </si>
  <si>
    <t xml:space="preserve">E001-1754 </t>
  </si>
  <si>
    <t>2025-09-15 16:49:00</t>
  </si>
  <si>
    <t>2025-10-15 16:49:00</t>
  </si>
  <si>
    <t>480.00</t>
  </si>
  <si>
    <t>86.40</t>
  </si>
  <si>
    <t>FileStore/2025-09-15/YzOXskvqhP.pdf</t>
  </si>
  <si>
    <t>718</t>
  </si>
  <si>
    <t xml:space="preserve">3100441253 MULTIMETRO </t>
  </si>
  <si>
    <t>R2025-1136   EG07-1419</t>
  </si>
  <si>
    <t xml:space="preserve">E001-1755 </t>
  </si>
  <si>
    <t>2025-09-15 17:09:00</t>
  </si>
  <si>
    <t>2025-10-15 17:09:00</t>
  </si>
  <si>
    <t>822.80</t>
  </si>
  <si>
    <t>148.10</t>
  </si>
  <si>
    <t>FileStore/2025-09-15/uykxKBJl0c.pdf</t>
  </si>
  <si>
    <t>719</t>
  </si>
  <si>
    <t xml:space="preserve">3100438241 TACO MADERA 36X25X20CM </t>
  </si>
  <si>
    <t>R2025-603   EG07-1409</t>
  </si>
  <si>
    <t>E001-1756</t>
  </si>
  <si>
    <t>2025-09-15 17:24:00</t>
  </si>
  <si>
    <t>2025-10-15 17:24:00</t>
  </si>
  <si>
    <t>2433.10</t>
  </si>
  <si>
    <t>437.96</t>
  </si>
  <si>
    <t>FileStore/2025-09-15/Culgc26HUL.pdf</t>
  </si>
  <si>
    <t>720</t>
  </si>
  <si>
    <t>AXEL PROVEEDORES INDUSTRIALES E.I.R.L.</t>
  </si>
  <si>
    <t>OC3210F180925</t>
  </si>
  <si>
    <t>R25-1269 // TACOS 25 TN</t>
  </si>
  <si>
    <t>F001-00001088</t>
  </si>
  <si>
    <t>2025-09-18 12:06:00</t>
  </si>
  <si>
    <t>389.83</t>
  </si>
  <si>
    <t>70.17</t>
  </si>
  <si>
    <t>FileStore/2025-09-18/wTGVMp15Ey.pdf</t>
  </si>
  <si>
    <t>721</t>
  </si>
  <si>
    <t>OC3211F180925</t>
  </si>
  <si>
    <t>R1269 // TACOS 25 TN X 6 UND</t>
  </si>
  <si>
    <t>F001-00001091</t>
  </si>
  <si>
    <t>2025-09-18 13:29:00</t>
  </si>
  <si>
    <t>584.75</t>
  </si>
  <si>
    <t>105.25</t>
  </si>
  <si>
    <t>FileStore/2025-09-18/jqYg6WrZ98.pdf</t>
  </si>
  <si>
    <t>722</t>
  </si>
  <si>
    <t>COREPTEC</t>
  </si>
  <si>
    <t>OC3212F190925</t>
  </si>
  <si>
    <t>R2025-1249</t>
  </si>
  <si>
    <t>F001 - 3201</t>
  </si>
  <si>
    <t>2025-09-19 10:07:00</t>
  </si>
  <si>
    <t>2040.00</t>
  </si>
  <si>
    <t>367.20</t>
  </si>
  <si>
    <t>FileStore/2025-09-23/HZxWsRpfPc.pdf</t>
  </si>
  <si>
    <t>723</t>
  </si>
  <si>
    <t>Zamtsu corporacion s. R. L</t>
  </si>
  <si>
    <t>OC3213F190925</t>
  </si>
  <si>
    <t xml:space="preserve">R2025-1244
</t>
  </si>
  <si>
    <t>F001 5724</t>
  </si>
  <si>
    <t>2025-09-19 16:41:00</t>
  </si>
  <si>
    <t>538.00</t>
  </si>
  <si>
    <t>96.84</t>
  </si>
  <si>
    <t>FileStore/2025-09-24/0oaH8EQ6K4.pdf</t>
  </si>
  <si>
    <t>724</t>
  </si>
  <si>
    <t>Sanitas peru sa - eps</t>
  </si>
  <si>
    <t>SCTR SALUD SETIEMBRE - OCTUBRE 2025</t>
  </si>
  <si>
    <t>F002-02008513</t>
  </si>
  <si>
    <t>2025-09-19 19:13:00</t>
  </si>
  <si>
    <t>2025-09-19 19:09:00</t>
  </si>
  <si>
    <t>99.44</t>
  </si>
  <si>
    <t>17.90</t>
  </si>
  <si>
    <t>FileStore/2025-09-19/Cczir6d9Bp.pdf</t>
  </si>
  <si>
    <t>725</t>
  </si>
  <si>
    <t>Protecta sa compañia de seguros</t>
  </si>
  <si>
    <t>SCTR PENSION SETIEMBRE - OCTUBRE  2025</t>
  </si>
  <si>
    <t xml:space="preserve"> F007-000834588</t>
  </si>
  <si>
    <t>2025-09-19 19:18:00</t>
  </si>
  <si>
    <t>2025-09-19 19:15:00</t>
  </si>
  <si>
    <t>80.00</t>
  </si>
  <si>
    <t>14.40</t>
  </si>
  <si>
    <t>FileStore/2025-09-19/Pdiv5mBu6U.pdf</t>
  </si>
  <si>
    <t>726</t>
  </si>
  <si>
    <t>3100442799 CANDADO ROJO</t>
  </si>
  <si>
    <t>R2025-752 EG07-1422</t>
  </si>
  <si>
    <t>E001-1757</t>
  </si>
  <si>
    <t>2025-09-20 19:15:00</t>
  </si>
  <si>
    <t>2025-10-20 19:15:00</t>
  </si>
  <si>
    <t>48.48</t>
  </si>
  <si>
    <t>8.73</t>
  </si>
  <si>
    <t>FileStore/2025-09-20/dIVFRG9OMn.pdf</t>
  </si>
  <si>
    <t>727</t>
  </si>
  <si>
    <t>3100443405 TACOS 25 TN x 2 - Anulada y remplazada  x 3100445804</t>
  </si>
  <si>
    <t>R2025-1269  EG07-1423</t>
  </si>
  <si>
    <t>E001-1758 Anulada y el monto se añadiò a la fact 1765</t>
  </si>
  <si>
    <t>2025-09-20 19:26:00</t>
  </si>
  <si>
    <t>2025-10-20 19:26:00</t>
  </si>
  <si>
    <t>FileStore/2025-09-20/iOS0uKE8xj.pdf</t>
  </si>
  <si>
    <t>728</t>
  </si>
  <si>
    <t>3100443731 tacos x8 und</t>
  </si>
  <si>
    <t>R2025-1269V1   EG07-1424   EG07-1425</t>
  </si>
  <si>
    <t>E001-1759  - ANULADA</t>
  </si>
  <si>
    <t>2025-09-20 19:43:00</t>
  </si>
  <si>
    <t>2025-10-20 19:43:00</t>
  </si>
  <si>
    <t>FileStore/2025-09-20/n3lZDVbd8t.pdf</t>
  </si>
  <si>
    <t>729</t>
  </si>
  <si>
    <t>OC3214F220925</t>
  </si>
  <si>
    <t>R2025-1297  KIT Y BOTIQUIN</t>
  </si>
  <si>
    <t>F001-11059</t>
  </si>
  <si>
    <t>2025-09-22 14:41:00</t>
  </si>
  <si>
    <t>711.85</t>
  </si>
  <si>
    <t>128.13</t>
  </si>
  <si>
    <t>FileStore/2025-09-25/SvUVZMP25H.pdf</t>
  </si>
  <si>
    <t>730</t>
  </si>
  <si>
    <t>OC3215F220925</t>
  </si>
  <si>
    <t>Tacos PVC amarillos 60 ton</t>
  </si>
  <si>
    <t>F035-69528</t>
  </si>
  <si>
    <t>2025-09-22 15:50:00</t>
  </si>
  <si>
    <t>609.84</t>
  </si>
  <si>
    <t>109.77</t>
  </si>
  <si>
    <t>FileStore/2025-09-23/KjtzkwoiZF.pdf</t>
  </si>
  <si>
    <t>731</t>
  </si>
  <si>
    <t>Los andes distribuciones del peru sac -  ladd peru sac</t>
  </si>
  <si>
    <t>OC3216F230925</t>
  </si>
  <si>
    <t>R2025-1261 COMPRA DE 2 PRENSAS TERMINALES</t>
  </si>
  <si>
    <t>E001-10263</t>
  </si>
  <si>
    <t>2025-09-23 16:02:00</t>
  </si>
  <si>
    <t>1030.00</t>
  </si>
  <si>
    <t>185.40</t>
  </si>
  <si>
    <t>FileStore/2025-09-26/y7VtrhED5v.pdf</t>
  </si>
  <si>
    <t>732</t>
  </si>
  <si>
    <t>SMART FACTORY SAC</t>
  </si>
  <si>
    <t>OC3218F240925</t>
  </si>
  <si>
    <t>R2025-1266 SMART FACTORY SAC COMPRA DE TECLADO ELECTRONICO PARA CLIENTE Intradevco Industrial S.A</t>
  </si>
  <si>
    <t>FF03 61</t>
  </si>
  <si>
    <t>2025-09-24 16:36:00</t>
  </si>
  <si>
    <t>390.45</t>
  </si>
  <si>
    <t>70.28</t>
  </si>
  <si>
    <t>FileStore/2025-09-24/QAYrCbRVoI.pdf</t>
  </si>
  <si>
    <t>736</t>
  </si>
  <si>
    <t>3100445145 TACOS X 2 PULIURETANO X 60TON</t>
  </si>
  <si>
    <t>R2025-1195 EG07-1416</t>
  </si>
  <si>
    <t xml:space="preserve">E001-1760 </t>
  </si>
  <si>
    <t>2025-09-24 17:07:00</t>
  </si>
  <si>
    <t>2025-10-24 17:07:00</t>
  </si>
  <si>
    <t>FileStore/2025-09-24/AYjTS3Uv2z.pdf</t>
  </si>
  <si>
    <t>737</t>
  </si>
  <si>
    <t>OC3220F240925</t>
  </si>
  <si>
    <t xml:space="preserve">R25-1269 // TACOS X 2 UND </t>
  </si>
  <si>
    <t>F001-00001124</t>
  </si>
  <si>
    <t>2025-09-24 18:22:00</t>
  </si>
  <si>
    <t>194.92</t>
  </si>
  <si>
    <t>35.08</t>
  </si>
  <si>
    <t>FileStore/2025-09-26/jqRuxknPTf.pdf</t>
  </si>
  <si>
    <t>738</t>
  </si>
  <si>
    <t>3100411392 TIMBA BLOCK</t>
  </si>
  <si>
    <t>R2025-563  EG07-1418</t>
  </si>
  <si>
    <t xml:space="preserve">E001-1761 </t>
  </si>
  <si>
    <t>2025-09-24 19:38:00</t>
  </si>
  <si>
    <t>2025-10-24 19:38:00</t>
  </si>
  <si>
    <t>4771.70</t>
  </si>
  <si>
    <t>858.91</t>
  </si>
  <si>
    <t>FileStore/2025-09-24/rNmvpdFkoJ.pdf</t>
  </si>
  <si>
    <t>739</t>
  </si>
  <si>
    <t>4500052368</t>
  </si>
  <si>
    <t>R2025-1249 EG07-1426</t>
  </si>
  <si>
    <t xml:space="preserve">E001-1762 </t>
  </si>
  <si>
    <t>2025-09-24 19:55:00</t>
  </si>
  <si>
    <t>2025-10-24 19:55:00</t>
  </si>
  <si>
    <t>3421.00</t>
  </si>
  <si>
    <t>615.78</t>
  </si>
  <si>
    <t>FileStore/2025-09-24/C6E32VItJR.pdf</t>
  </si>
  <si>
    <t>740</t>
  </si>
  <si>
    <t>Aliexpress</t>
  </si>
  <si>
    <t>OC3222F240925</t>
  </si>
  <si>
    <t>R2025-1302 botellas punta aguja x 6</t>
  </si>
  <si>
    <t xml:space="preserve"> 8205258922404121</t>
  </si>
  <si>
    <t>2025-09-24 23:58:00</t>
  </si>
  <si>
    <t>11.15</t>
  </si>
  <si>
    <t>FileStore/2025-09-24/t2BgovuqnZ.pdf</t>
  </si>
  <si>
    <t>741</t>
  </si>
  <si>
    <t>3100443927 TACOMETRO</t>
  </si>
  <si>
    <t>R2025-1244  EG07-1430</t>
  </si>
  <si>
    <t xml:space="preserve">E001-1763 </t>
  </si>
  <si>
    <t>2025-09-25 10:07:00</t>
  </si>
  <si>
    <t>2025-10-25 10:07:00</t>
  </si>
  <si>
    <t>599.00</t>
  </si>
  <si>
    <t>107.82</t>
  </si>
  <si>
    <t>FileStore/2025-09-25/YHbAocz8Rk.pdf</t>
  </si>
  <si>
    <t>742</t>
  </si>
  <si>
    <t>OC3224F250925</t>
  </si>
  <si>
    <t xml:space="preserve">KIT Y BOTIQUIN  3 UNID </t>
  </si>
  <si>
    <t>F001-00011089</t>
  </si>
  <si>
    <t>2025-09-25 11:26:00</t>
  </si>
  <si>
    <t>711.86</t>
  </si>
  <si>
    <t>128.14</t>
  </si>
  <si>
    <t>FileStore/2025-09-29/MTB3GojI6a.pdf</t>
  </si>
  <si>
    <t>743</t>
  </si>
  <si>
    <t>OC3223F250925</t>
  </si>
  <si>
    <t>6TACOS</t>
  </si>
  <si>
    <t>F042-21742</t>
  </si>
  <si>
    <t>2025-09-25 11:29:00</t>
  </si>
  <si>
    <t>894.42</t>
  </si>
  <si>
    <t>161.00</t>
  </si>
  <si>
    <t>FileStore/2025-09-26/o0cue87tS9.pdf</t>
  </si>
  <si>
    <t>744</t>
  </si>
  <si>
    <t>ASIA POWER TOOLS IMPORT S.A.C.</t>
  </si>
  <si>
    <t>OC3226F260925</t>
  </si>
  <si>
    <t>R2025-1221 // COMPRA DE 12 CABLE USB</t>
  </si>
  <si>
    <t>F002-1360</t>
  </si>
  <si>
    <t>2025-09-26 11:28:00</t>
  </si>
  <si>
    <t>49.15</t>
  </si>
  <si>
    <t>8.85</t>
  </si>
  <si>
    <t>FileStore/2025-09-26/Bv1X3DiUyR.pdf</t>
  </si>
  <si>
    <t>745</t>
  </si>
  <si>
    <t>3100444835  PRENSA TERMINAL</t>
  </si>
  <si>
    <t>R2025-1261 EG07-1431</t>
  </si>
  <si>
    <t>E001-1764</t>
  </si>
  <si>
    <t>2025-09-27 16:00:00</t>
  </si>
  <si>
    <t>2025-10-27 16:00:00</t>
  </si>
  <si>
    <t>1271.60</t>
  </si>
  <si>
    <t>228.89</t>
  </si>
  <si>
    <t>FileStore/2025-09-27/nfF0DrbkK2.pdf</t>
  </si>
  <si>
    <t>746</t>
  </si>
  <si>
    <t>3100445804 Tacos x 2. al doble de precio para cubrir la oc anulada  3100443405</t>
  </si>
  <si>
    <t>R2025-1269  EG07-1432</t>
  </si>
  <si>
    <t>E001-1765</t>
  </si>
  <si>
    <t>2025-09-27 16:27:00</t>
  </si>
  <si>
    <t>2025-10-27 16:27:00</t>
  </si>
  <si>
    <t>579.00</t>
  </si>
  <si>
    <t>104.22</t>
  </si>
  <si>
    <t>FileStore/2025-09-27/Ud2N1Ohv5B.pdf</t>
  </si>
  <si>
    <t>747</t>
  </si>
  <si>
    <t>Appsheet</t>
  </si>
  <si>
    <t>APP SHEET APP PRO set 23 - oct 23 .2025</t>
  </si>
  <si>
    <t>2815-9472</t>
  </si>
  <si>
    <t>2025-09-23 20:46:00</t>
  </si>
  <si>
    <t>2025-09-23 20:42:00</t>
  </si>
  <si>
    <t>FileStore/2025-09-27/NUu3yr51Vp.pdf</t>
  </si>
  <si>
    <t>748</t>
  </si>
  <si>
    <t>Recibo de importacion</t>
  </si>
  <si>
    <t>Amazon</t>
  </si>
  <si>
    <t>Spinner balls</t>
  </si>
  <si>
    <t>114-5396529-3857869</t>
  </si>
  <si>
    <t>2025-09-12 21:17:00</t>
  </si>
  <si>
    <t>2025-09-27 21:16:00</t>
  </si>
  <si>
    <t>43.14</t>
  </si>
  <si>
    <t>FileStore/2025-09-27/gJWUobehuD.pdf</t>
  </si>
  <si>
    <t>749</t>
  </si>
  <si>
    <t>Cayatopa Vásquez Nely</t>
  </si>
  <si>
    <t>Servicios administrativos Julio. Agosto. Setiembre 2025</t>
  </si>
  <si>
    <t xml:space="preserve">RHE    E001- 1
</t>
  </si>
  <si>
    <t>2025-09-27 10:07:00</t>
  </si>
  <si>
    <t>2025-09-27 10:04:00</t>
  </si>
  <si>
    <t>1000.00</t>
  </si>
  <si>
    <t>FileStore/2025-09-28/zKNdG8E95m.pdf</t>
  </si>
  <si>
    <t>750</t>
  </si>
  <si>
    <t>Servicios administrativos   Julio. Agosto. Setiembre 2025</t>
  </si>
  <si>
    <t>RHE  E001- 2</t>
  </si>
  <si>
    <t>2025-09-27 10:10:00</t>
  </si>
  <si>
    <t>2025-09-27 10:09:00</t>
  </si>
  <si>
    <t>800.00</t>
  </si>
  <si>
    <t>FileStore/2025-09-28/z1WINHjiOg.pdf</t>
  </si>
  <si>
    <t>751</t>
  </si>
  <si>
    <t>OC3227F280925</t>
  </si>
  <si>
    <t>R2025-872 Tapones plasticos x 170 unidades</t>
  </si>
  <si>
    <t>8205463820034121</t>
  </si>
  <si>
    <t>2025-09-28 23:49:00</t>
  </si>
  <si>
    <t>89.75</t>
  </si>
  <si>
    <t>FileStore/2025-09-28/fcQPJb6e1D.pdf</t>
  </si>
  <si>
    <t>752</t>
  </si>
  <si>
    <t>Ninguno</t>
  </si>
  <si>
    <t>Sunat</t>
  </si>
  <si>
    <t>RENTA DE 5TA AGOSTO 2025</t>
  </si>
  <si>
    <t>NPS  0004467917248</t>
  </si>
  <si>
    <t>2025-09-23 09:44:00</t>
  </si>
  <si>
    <t>2025-09-23 09:42:00</t>
  </si>
  <si>
    <t>794.00</t>
  </si>
  <si>
    <t>753</t>
  </si>
  <si>
    <t>PAGO ESSALUD AGOSTO 2025</t>
  </si>
  <si>
    <t>2025-09-23 09:48:00</t>
  </si>
  <si>
    <t>2025-09-23 09:47:00</t>
  </si>
  <si>
    <t>1832.00</t>
  </si>
  <si>
    <t>754</t>
  </si>
  <si>
    <t>Sistema nacional de pensiones</t>
  </si>
  <si>
    <t>5310-SNP - LEY 19990 - AGOSTO 2025</t>
  </si>
  <si>
    <t>SIN FACTURA</t>
  </si>
  <si>
    <t>2025-09-23 09:53:00</t>
  </si>
  <si>
    <t>2025-09-23 09:51:00</t>
  </si>
  <si>
    <t>260.00</t>
  </si>
  <si>
    <t>755</t>
  </si>
  <si>
    <t>Samuel rodolfo cribillero aching</t>
  </si>
  <si>
    <t>SERVICIOS CONTABLES PERIODO AGOSTO 2025</t>
  </si>
  <si>
    <t>RHE   E001 433</t>
  </si>
  <si>
    <t>2025-09-26 10:27:00</t>
  </si>
  <si>
    <t>2025-09-26 10:26:00</t>
  </si>
  <si>
    <t>276.00</t>
  </si>
  <si>
    <t>24.00</t>
  </si>
  <si>
    <t>FileStore/2025-09-30/GIS2KvPwsF.pdf</t>
  </si>
  <si>
    <t>759</t>
  </si>
  <si>
    <t>3100431031 Taburete FALTA MODIFICAR MONEDA</t>
  </si>
  <si>
    <t>R25-792 EG07-1362</t>
  </si>
  <si>
    <t>E001-1769</t>
  </si>
  <si>
    <t>2025-09-29 13:56:00</t>
  </si>
  <si>
    <t>2025-10-30 13:54:00</t>
  </si>
  <si>
    <t>2025-09-30 13:54:00</t>
  </si>
  <si>
    <t>396.00</t>
  </si>
  <si>
    <t>71.28</t>
  </si>
  <si>
    <t>FileStore/2025-09-30/H1KJnd5qDS.pdf</t>
  </si>
  <si>
    <t>760</t>
  </si>
  <si>
    <t xml:space="preserve">R2025-1269V1   EG07-1424 </t>
  </si>
  <si>
    <t>E001-1766</t>
  </si>
  <si>
    <t>2025-09-28 14:00:00</t>
  </si>
  <si>
    <t>2025-10-28 14:00:00</t>
  </si>
  <si>
    <t>2025-09-30 14:00:00</t>
  </si>
  <si>
    <t>289.50</t>
  </si>
  <si>
    <t>52.11</t>
  </si>
  <si>
    <t>FileStore/2025-09-30/Jkh5qzLSXI.pdf</t>
  </si>
  <si>
    <t>761</t>
  </si>
  <si>
    <t>R2025-1269V1   EG07-1425</t>
  </si>
  <si>
    <t>E001-1767</t>
  </si>
  <si>
    <t>2025-09-28 14:05:00</t>
  </si>
  <si>
    <t>2025-10-28 14:05:00</t>
  </si>
  <si>
    <t>2025-09-30 14:05:00</t>
  </si>
  <si>
    <t>868.50</t>
  </si>
  <si>
    <t>156.33</t>
  </si>
  <si>
    <t>FileStore/2025-09-30/1l2TVZYP9L.pdf</t>
  </si>
  <si>
    <t>762</t>
  </si>
  <si>
    <t>3100446929 - TACOS X 4</t>
  </si>
  <si>
    <t>R2025-1297  EG07-1429</t>
  </si>
  <si>
    <t>E001-1768</t>
  </si>
  <si>
    <t>2025-09-28 14:11:00</t>
  </si>
  <si>
    <t>2025-10-28 14:11:00</t>
  </si>
  <si>
    <t>2025-09-30 14:11:00</t>
  </si>
  <si>
    <t>1060.00</t>
  </si>
  <si>
    <t>190.80</t>
  </si>
  <si>
    <t>FileStore/2025-09-30/1TN9Zzn2Lk.pdf</t>
  </si>
  <si>
    <t>763</t>
  </si>
  <si>
    <t>3100445339 X 2 bOT Y 2 kIT</t>
  </si>
  <si>
    <t>R25-1297  EG07-1417 - 1427 - 1428</t>
  </si>
  <si>
    <t>E001-1771</t>
  </si>
  <si>
    <t>2025-09-29 14:27:00</t>
  </si>
  <si>
    <t>2025-10-29 14:27:00</t>
  </si>
  <si>
    <t>2025-09-30 14:27:00</t>
  </si>
  <si>
    <t>1108.00</t>
  </si>
  <si>
    <t>199.40</t>
  </si>
  <si>
    <t>FileStore/2025-09-30/IDJlUL3Qzx.pdf</t>
  </si>
  <si>
    <t>764</t>
  </si>
  <si>
    <t>3100447448 2 BOT Y 2 KITS</t>
  </si>
  <si>
    <t>R2025-1297 BOTI Y KITS  EG07-1427 - EG07-1428</t>
  </si>
  <si>
    <t>E001-1770</t>
  </si>
  <si>
    <t>2025-09-29 14:32:00</t>
  </si>
  <si>
    <t>2025-10-29 14:32:00</t>
  </si>
  <si>
    <t>2025-09-30 14:32:00</t>
  </si>
  <si>
    <t>FileStore/2025-09-30/xnIk5vHyoY.pdf</t>
  </si>
  <si>
    <t>765</t>
  </si>
  <si>
    <t xml:space="preserve">PAGO X COMISION </t>
  </si>
  <si>
    <t>FN01-37472835</t>
  </si>
  <si>
    <t>2025-09-30 11:47:00</t>
  </si>
  <si>
    <t>2025-09-30 11:46:00</t>
  </si>
  <si>
    <t>4.80</t>
  </si>
  <si>
    <t>FileStore/2025-10-01/jnpSZJk8Vz.pdf</t>
  </si>
  <si>
    <t>766</t>
  </si>
  <si>
    <t>Google llc</t>
  </si>
  <si>
    <t>SUSCRIPCION GOOGLE WORKSPACE SETIEMBRE 2025</t>
  </si>
  <si>
    <t>5369658831</t>
  </si>
  <si>
    <t>2025-09-30 18:00:00</t>
  </si>
  <si>
    <t>2025-09-30 17:57:00</t>
  </si>
  <si>
    <t>29.72</t>
  </si>
  <si>
    <t>FileStore/2025-10-01/kBIpNhZPC4.pdf</t>
  </si>
  <si>
    <t>768</t>
  </si>
  <si>
    <t>Multiservis zsammy eirl</t>
  </si>
  <si>
    <t>Servicio Logísticos del mes de Setiembre 2025</t>
  </si>
  <si>
    <t>E001-1028</t>
  </si>
  <si>
    <t>2025-09-30 12:00:00</t>
  </si>
  <si>
    <t>FileStore/2025-10-02/FAyJD5e2Nm.pdf</t>
  </si>
  <si>
    <t>769</t>
  </si>
  <si>
    <t>Camygen tintaya sac</t>
  </si>
  <si>
    <t>E001-650</t>
  </si>
  <si>
    <t>2025-09-26 12:00:00</t>
  </si>
  <si>
    <t>330.00</t>
  </si>
  <si>
    <t>59.40</t>
  </si>
  <si>
    <t>FileStore/2025-10-02/2qvg5t6WBc.pdf</t>
  </si>
  <si>
    <t>770</t>
  </si>
  <si>
    <t>E001-651</t>
  </si>
  <si>
    <t>300.00</t>
  </si>
  <si>
    <t>54.00</t>
  </si>
  <si>
    <t>FileStore/2025-10-02/i9IeZ4WB7V.pdf</t>
  </si>
  <si>
    <t>771</t>
  </si>
  <si>
    <t>E001-652</t>
  </si>
  <si>
    <t>450.00</t>
  </si>
  <si>
    <t>81.00</t>
  </si>
  <si>
    <t>FileStore/2025-10-02/w0KXgRV62C.pdf</t>
  </si>
  <si>
    <t>772</t>
  </si>
  <si>
    <t>Muñoz diaz jessica mercedes</t>
  </si>
  <si>
    <t>pago sueldo  empleados FIG Mes setiembre 2025</t>
  </si>
  <si>
    <t xml:space="preserve">sin factura </t>
  </si>
  <si>
    <t>2025-09-27 12:53:00</t>
  </si>
  <si>
    <t>2025-09-27 12:51:00</t>
  </si>
  <si>
    <t>18366.37</t>
  </si>
  <si>
    <t>788</t>
  </si>
  <si>
    <t>Jabones triclosan stock BOtiquines</t>
  </si>
  <si>
    <t>F001 6765</t>
  </si>
  <si>
    <t>2025-09-05 17:53:00</t>
  </si>
  <si>
    <t>2025-09-05 17:52:00</t>
  </si>
  <si>
    <t>31.50</t>
  </si>
  <si>
    <t>4.81</t>
  </si>
  <si>
    <t>FileStore/2025-10-10/HGXbTd4wFU.pdf</t>
  </si>
  <si>
    <t>806</t>
  </si>
  <si>
    <t>Agasajo de cumpleaños equipo setiembre</t>
  </si>
  <si>
    <t>FE01-1837</t>
  </si>
  <si>
    <t>2025-09-30 20:47:00</t>
  </si>
  <si>
    <t>2025-09-30 20:46:00</t>
  </si>
  <si>
    <t>47.54</t>
  </si>
  <si>
    <t>8.56</t>
  </si>
  <si>
    <t>FileStore/2025-10-12/sWNZiFenBO.jpeg</t>
  </si>
  <si>
    <t>810</t>
  </si>
  <si>
    <t>Tipo</t>
  </si>
  <si>
    <t>Categoria</t>
  </si>
  <si>
    <t>OC_cliente</t>
  </si>
  <si>
    <t>OC_proveedor</t>
  </si>
  <si>
    <t>Descripcion</t>
  </si>
  <si>
    <t>Numero_de_documento</t>
  </si>
  <si>
    <t>Fecha_Emision</t>
  </si>
  <si>
    <t>Fecha_Vencimiento</t>
  </si>
  <si>
    <t>Fecha_de_Envio</t>
  </si>
  <si>
    <t>Valor_sin_IGV</t>
  </si>
  <si>
    <t>IGV</t>
  </si>
  <si>
    <t>Moneda</t>
  </si>
  <si>
    <t>Saldo</t>
  </si>
  <si>
    <t>Documento_PDF</t>
  </si>
  <si>
    <t>Ediciones</t>
  </si>
  <si>
    <t>NULL</t>
  </si>
  <si>
    <t>2025-08-27 10:58:33, Gerson Tintaya Apaza , registrÃ³ en el sistema un comprobante con valor: x.;2025-08-27 10:59:10, Gerson Tintaya Apaza , modificÃ³ el valor __ en la columna _Descripcion_;2025-09-18 09:24:03, Gerson Tintaya Apaza , modificÃ³ el valor _Factura_ en la columna _Tipo de comprobante_;2025-09-18 09:24:03, Gerson Tintaya Apaza , modificÃ³ el valor _Factura faltante_ en la columna _Numero de documento_;2025-09-18 09:24:03, Gerson Tintaya Apaza , modificÃ³ el valor _2025-08-27 10:58:00_ en la columna _Fecha de emision_;2025-09-18 09:24:03, Gerson Tintaya Apaza , modificÃ³ el valor _FileStore/2025-09-18/Ujqy4DwfXI.pdf_ en la columna _PDF_</t>
  </si>
  <si>
    <t>2025-08-30 18:19:56, Jessica MuÃ±oz Diaz , registrÃ³ en el sistema un comprobante con valor: x.;2025-09-03 11:10:26, Jessica MuÃ±oz Diaz , modificÃ³ el valor _701.50_ en la columna _Comprobante valor sin IGV_;2025-09-03 11:10:26, Jessica MuÃ±oz Diaz , modificÃ³ el valor _126.27_ en la columna _IGV_;2025-09-03 11:17:29, Jessica MuÃ±oz Diaz , modificÃ³ el valor _Factura faltante_ en la columna _Numero de documento_;2025-09-03 11:17:29, Jessica MuÃ±oz Diaz , modificÃ³ el valor _Factura_ en la columna _Tipo de comprobante_;2025-09-03 11:17:29, Jessica MuÃ±oz Diaz , modificÃ³ el valor _FileStore/2025-09-03/8pKqNBd0HI.pdf_ en la columna _PDF_;2025-09-11 14:50:54, Nelly Rodriguez Melgarejo , modificÃ³ el valor _2025-08-30 18:18:00_ en la columna _Fecha de emision_;2025-09-11 14:50:54, Nelly Rodriguez Melgarejo , modificÃ³ el valor _2025-08-30 18:18:00_ en la columna _Fecha de vencimiento_;2025-09-11 14:50:54, Nelly Rodriguez Melgarejo , modificÃ³ el valor _2025-08-30 18:18:00_ en la columna _Fecha de envio_</t>
  </si>
  <si>
    <t>2025-09-01 11:49:31, null , registrÃ³ en el sistema un comprobante con valor: x.;2025-09-01 11:49:43, null , modificÃ³ el valor _Factura_ en la columna _Tipo de comprobante_;2025-09-05 12:49:47, null , modificÃ³ el valor _Factura faltante_ en la columna _Numero de documento_;2025-09-05 12:49:47, null , modificÃ³ el valor _FileStore/2025-09-05/v13LDybaE6.pdf_ en la columna _PDF_</t>
  </si>
  <si>
    <t>2025-09-02 14:31:06, null , registrÃ³ en el sistema un comprobante con valor: x.;2025-09-05 12:48:08, null , modificÃ³ el valor _Factura_ en la columna _Tipo de comprobante_;2025-09-05 12:48:08, null , modificÃ³ el valor _Factura faltante_ en la columna _Numero de documento_;2025-09-05 12:48:08, null , modificÃ³ el valor _FileStore/2025-09-05/1P8IK39MCV.pdf_ en la columna _PDF_</t>
  </si>
  <si>
    <t>2025-09-03 11:57:57, Jessica MuÃ±oz Diaz , registrÃ³ en el sistema un comprobante con valor: x.</t>
  </si>
  <si>
    <t>2025-09-04 15:55:23, null , registrÃ³ en el sistema un comprobante con valor: x.;2025-09-05 08:12:24, null , modificÃ³ el valor _609.84_ en la columna _Comprobante valor sin IGV_;2025-09-05 08:12:24, null , modificÃ³ el valor _109.77_ en la columna _IGV_;2025-09-05 12:46:57, null , modificÃ³ el valor _Factura_ en la columna _Tipo de comprobante_;2025-09-05 12:46:57, null , modificÃ³ el valor _Factura faltante_ en la columna _Numero de documento_;2025-09-05 12:46:57, null , modificÃ³ el valor _FileStore/2025-09-05/GrE9X1i7oy.pdf_ en la columna _PDF_;2025-09-05 13:16:39, null , modificÃ³ el valor _F001 34139_ en la columna _Numero de documento_;2025-09-05 13:16:39, null , modificÃ³ el valor _2025-09-04 15:54:00_ en la columna _Fecha de emision_;2025-09-05 13:16:39, null , modificÃ³ el valor _2025-09-04 15:54:00_ en la columna _Fecha de vencimiento_;2025-09-05 13:16:39, null , modificÃ³ el valor _2025-09-04 15:54:00_ en la columna _Fecha de envio_;2025-09-05 13:16:39, null , modificÃ³ el valor _FileStore/2025-09-05/QScYlyGIR3.pdf_ en la columna _PDF_</t>
  </si>
  <si>
    <t>2025-09-05 12:19:25, null , registrÃ³ en el sistema un comprobante con valor: x.;2025-09-05 13:05:22, null , modificÃ³ el valor _Factura_ en la columna _Tipo de comprobante_;2025-09-05 13:05:22, null , modificÃ³ el valor _Factura faltante_ en la columna _Numero de documento_;2025-09-05 13:05:22, null , modificÃ³ el valor _FileStore/2025-09-05/9d0m5sRPCl.pdf_ en la columna _PDF_</t>
  </si>
  <si>
    <t>2025-09-06 11:56:05, null , registrÃ³ en el sistema un comprobante con valor: x.;2025-09-11 08:53:40, null , modificÃ³ el valor _Factura_ en la columna _Tipo de comprobante_;2025-09-11 08:53:40, null , modificÃ³ el valor _Factura faltante_ en la columna _Numero de documento_;2025-09-11 08:53:40, null , modificÃ³ el valor _2025-09-06 11:56:00_ en la columna _Fecha de emision_;2025-09-11 08:53:40, null , modificÃ³ el valor _2025-09-06 11:56:00_ en la columna _Fecha de vencimiento_;2025-09-11 08:53:40, null , modificÃ³ el valor _2025-09-06 11:56:00_ en la columna _Fecha de envio_;2025-09-11 08:53:40, null , modificÃ³ el valor _FileStore/2025-09-11/OPQcF7Iw0x.PDF_ en la columna _PDF_</t>
  </si>
  <si>
    <t>2025-09-08 13:10:17, null , registrÃ³ en el sistema un comprobante con valor: x.;2025-09-22 14:03:53, Rosa Ramirez BailÃ³n , modificÃ³ el valor _Factura_ en la columna _Tipo de comprobante_;2025-09-22 14:03:53, Rosa Ramirez BailÃ³n , modificÃ³ el valor _Factura faltante_ en la columna _Numero de documento_;2025-09-22 14:03:53, Rosa Ramirez BailÃ³n , modificÃ³ el valor _FileStore/2025-09-22/JiPt6CHEjM.pdf_ en la columna _PDF_</t>
  </si>
  <si>
    <t>2025-09-08 17:31:07, null , registrÃ³ en el sistema un comprobante con valor: x.;2025-09-08 17:36:17, null , modificÃ³ el valor __ en la columna _Descripcion_;2025-09-22 10:32:33, null , modificÃ³ el valor _Factura faltante_ en la columna _Numero de documento_;2025-09-22 10:32:33, null , modificÃ³ el valor _2025-09-08 17:31:00_ en la columna _Fecha de emision_;2025-09-22 10:32:33, null , modificÃ³ el valor _2025-09-08 17:31:00_ en la columna _Fecha de envio_;2025-09-22 10:33:56, null , modificÃ³ el valor _Factura_ en la columna _Tipo de comprobante_;2025-09-22 10:33:56, null , modificÃ³ el valor __ en la columna _Fecha de vencimiento_;2025-09-22 10:33:56, null , modificÃ³ el valor _FileStore/2025-09-22/r1jyMcQL6h.pdf_ en la columna _PDF_</t>
  </si>
  <si>
    <t>2025-09-08 17:47:25, Jessica MuÃ±oz Diaz , registrÃ³ en el sistema un comprobante con valor: x.</t>
  </si>
  <si>
    <t>2025-09-08 20:00:33, Jessica MuÃ±oz Diaz , registrÃ³ en el sistema un comprobante con valor: x.</t>
  </si>
  <si>
    <t>2025-09-08 20:05:11, Jessica MuÃ±oz Diaz , registrÃ³ en el sistema un comprobante con valor: x.</t>
  </si>
  <si>
    <t>2025-09-08 20:12:02, Jessica MuÃ±oz Diaz , registrÃ³ en el sistema un comprobante con valor: x.</t>
  </si>
  <si>
    <t>2025-09-08 20:20:19, Jessica MuÃ±oz Diaz , registrÃ³ en el sistema un comprobante con valor: x.</t>
  </si>
  <si>
    <t>2025-09-08 20:26:53, Jessica MuÃ±oz Diaz , registrÃ³ en el sistema un comprobante con valor: x.</t>
  </si>
  <si>
    <t>2025-09-08 20:33:12, Jessica MuÃ±oz Diaz , registrÃ³ en el sistema un comprobante con valor: x.</t>
  </si>
  <si>
    <t>2025-09-08 20:57:20, Jessica MuÃ±oz Diaz , registrÃ³ en el sistema un comprobante con valor: x.</t>
  </si>
  <si>
    <t>2025-09-09 14:26:05, null , registrÃ³ en el sistema un comprobante con valor: x.;2025-09-22 10:17:50, null , modificÃ³ el valor _Factura_ en la columna _Tipo de comprobante_;2025-09-22 10:17:50, null , modificÃ³ el valor _Factura faltante_ en la columna _Numero de documento_;2025-09-22 10:17:50, null , modificÃ³ el valor _2025-09-09 14:25:00_ en la columna _Fecha de emision_;2025-09-22 10:17:50, null , modificÃ³ el valor _2025-09-09 14:25:00_ en la columna _Fecha de vencimiento_;2025-09-22 10:17:50, null , modificÃ³ el valor _2025-09-09 14:25:00_ en la columna _Fecha de envio_;2025-09-22 10:17:50, null , modificÃ³ el valor _FileStore/2025-09-22/WzfRpw5rZQ.pdf_ en la columna _PDF_;2025-09-22 12:32:40, Nelly Rodriguez Melgarejo , modificÃ³ el valor _2025-10-09 14:25:00_ en la columna _Fecha de emision_;2025-09-22 12:32:40, Nelly Rodriguez Melgarejo , modificÃ³ el valor _2025-10-09 14:25:00_ en la columna _Fecha de vencimiento_;2025-09-22 12:32:40, Nelly Rodriguez Melgarejo , modificÃ³ el valor _2025-10-09 14:25:00_ en la columna _Fecha de envio_</t>
  </si>
  <si>
    <t>2025-09-09 15:06:44, null , registrÃ³ en el sistema un comprobante con valor: x.;2025-09-23 08:16:07, null , modificÃ³ el valor _Factura_ en la columna _Tipo de comprobante_;2025-09-23 08:16:07, null , modificÃ³ el valor _FileStore/2025-09-23/vX064jncsw.pdf_ en la columna _PDF_;2025-09-25 11:03:57, Nelly Rodriguez Melgarejo , modificÃ³ el valor _Factura faltante_ en la columna _Numero de documento_</t>
  </si>
  <si>
    <t>2025-09-11 14:22:39, Jessica MuÃ±oz Diaz , registrÃ³ en el sistema un comprobante con valor: x.;2025-09-17 10:32:16, Jessica MuÃ±oz Diaz , modificÃ³ el valor _F001-001757_ en la columna _Numero de documento_</t>
  </si>
  <si>
    <t>2025-09-11 14:49:07, null , registrÃ³ en el sistema un comprobante con valor: x.;2025-09-17 10:44:41, Gerson Tintaya Apaza , modificÃ³ el valor _Factura_ en la columna _Tipo de comprobante_;2025-09-17 10:44:41, Gerson Tintaya Apaza , modificÃ³ el valor __ en la columna _Descripcion_;2025-09-17 10:44:41, Gerson Tintaya Apaza , modificÃ³ el valor _Factura faltante_ en la columna _Numero de documento_;2025-09-17 10:44:41, Gerson Tintaya Apaza , modificÃ³ el valor _FileStore/2025-09-17/I9gRt1WOJw.pdf_ en la columna _PDF_</t>
  </si>
  <si>
    <t>2025-09-11 15:38:04, Gerson Tintaya Apaza , registrÃ³ en el sistema un comprobante con valor: x.</t>
  </si>
  <si>
    <t>2025-09-12 14:51:03, Jessica MuÃ±oz Diaz , registrÃ³ en el sistema un comprobante con valor: x.;2025-09-26 10:19:35, Jessica MuÃ±oz Diaz , modificÃ³ el valor _Factura faltante_ en la columna _Numero de documento_;2025-09-26 10:19:35, Jessica MuÃ±oz Diaz , modificÃ³ el valor _FileStore/2025-09-26/8id1greQsL.pdf_ en la columna _PDF_</t>
  </si>
  <si>
    <t>2025-09-15 11:54:47, null , registrÃ³ en el sistema un comprobante con valor: x.;2025-09-22 10:12:53, null , modificÃ³ el valor _Factura_ en la columna _Tipo de comprobante_;2025-09-22 10:12:53, null , modificÃ³ el valor _Factura faltante_ en la columna _Numero de documento_;2025-09-22 10:12:53, null , modificÃ³ el valor _2025-09-15 11:54:00_ en la columna _Fecha de emision_;2025-09-22 10:12:53, null , modificÃ³ el valor _2025-09-15 11:54:00_ en la columna _Fecha de vencimiento_;2025-09-22 10:12:53, null , modificÃ³ el valor _2025-09-15 11:54:00_ en la columna _Fecha de envio_;2025-09-22 10:12:53, null , modificÃ³ el valor _FileStore/2025-09-22/OLZqC1xAtS.pdf_ en la columna _PDF_</t>
  </si>
  <si>
    <t>2025-09-18 12:07:30, Rosa Ramirez BailÃ³n , registrÃ³ en el sistema un comprobante con valor: x.;2025-09-18 16:26:10, Rosa Ramirez BailÃ³n , modificÃ³ el valor _Factura_ en la columna _Tipo de comprobante_;2025-09-18 16:26:10, Rosa Ramirez BailÃ³n , modificÃ³ el valor _Factura faltante_ en la columna _Numero de documento_;2025-09-18 16:26:10, Rosa Ramirez BailÃ³n , modificÃ³ el valor _389.84_ en la columna _Comprobante valor sin IGV_;2025-09-18 16:26:10, Rosa Ramirez BailÃ³n , modificÃ³ el valor _FileStore/2025-09-18/wTGVMp15Ey.pdf_ en la columna _PDF_</t>
  </si>
  <si>
    <t>2025-09-18 13:30:45, Rosa Ramirez BailÃ³n , registrÃ³ en el sistema un comprobante con valor: x.;2025-09-18 16:29:00, Rosa Ramirez BailÃ³n , modificÃ³ el valor _Factura_ en la columna _Tipo de comprobante_;2025-09-18 16:29:00, Rosa Ramirez BailÃ³n , modificÃ³ el valor _Factura faltante_ en la columna _Numero de documento_;2025-09-18 16:29:00, Rosa Ramirez BailÃ³n , modificÃ³ el valor _584.76_ en la columna _Comprobante valor sin IGV_;2025-09-18 16:29:00, Rosa Ramirez BailÃ³n , modificÃ³ el valor _105.26_ en la columna _IGV_;2025-09-18 16:29:00, Rosa Ramirez BailÃ³n , modificÃ³ el valor _FileStore/2025-09-18/jqYg6WrZ98.pdf_ en la columna _PDF_</t>
  </si>
  <si>
    <t>2025-09-19 10:08:12, Jessica MuÃ±oz Diaz , registrÃ³ en el sistema un comprobante con valor: x.;2025-09-22 08:40:17, Jessica MuÃ±oz Diaz , modificÃ³ el valor _R2025-1294_ en la columna _Descripcion_;2025-09-23 21:39:24, Jessica MuÃ±oz Diaz , modificÃ³ el valor _Factura_ en la columna _Tipo de comprobante_;2025-09-23 21:39:24, Jessica MuÃ±oz Diaz , modificÃ³ el valor _Factura faltante_ en la columna _Numero de documento_;2025-09-23 21:39:24, Jessica MuÃ±oz Diaz , modificÃ³ el valor _FileStore/2025-09-23/HZxWsRpfPc.pdf_ en la columna _PDF_</t>
  </si>
  <si>
    <t>2025-09-19 16:41:42, null , registrÃ³ en el sistema un comprobante con valor: x.;2025-09-24 16:41:26, null , modificÃ³ el valor _Factura_ en la columna _Tipo de comprobante_;2025-09-24 16:41:26, null , modificÃ³ el valor _Factura faltante_ en la columna _Numero de documento_;2025-09-24 16:41:26, null , modificÃ³ el valor _FileStore/2025-09-24/0oaH8EQ6K4.pdf_ en la columna _PDF_</t>
  </si>
  <si>
    <t>2025-09-22 14:41:41, Gerson Tintaya Apaza , registrÃ³ en el sistema un comprobante con valor: x.;2025-09-25 09:38:12, Gerson Tintaya Apaza , modificÃ³ el valor _FileStore/2025-09-25/SvUVZMP25H.pdf_ en la columna _PDF_;2025-09-25 11:07:11, Nelly Rodriguez Melgarejo , modificÃ³ el valor __ en la columna _Descripcion_;2025-09-25 11:07:11, Nelly Rodriguez Melgarejo , modificÃ³ el valor _Factura faltante_ en la columna _Numero de documento_</t>
  </si>
  <si>
    <t>2025-09-22 15:50:50, Gerson Tintaya Apaza , registrÃ³ en el sistema un comprobante con valor: x.;2025-09-23 21:40:55, Jessica MuÃ±oz Diaz , modificÃ³ el valor _Factura_ en la columna _Tipo de comprobante_;2025-09-23 21:40:55, Jessica MuÃ±oz Diaz , modificÃ³ el valor __ en la columna _Descripcion_;2025-09-23 21:40:55, Jessica MuÃ±oz Diaz , modificÃ³ el valor _Factura faltante_ en la columna _Numero de documento_;2025-09-23 21:40:55, Jessica MuÃ±oz Diaz , modificÃ³ el valor _FileStore/2025-09-23/KjtzkwoiZF.pdf_ en la columna _PDF_</t>
  </si>
  <si>
    <t>2025-09-23 16:03:54, Rosa Ramirez BailÃ³n , registrÃ³ en el sistema un comprobante con valor: x.;2025-09-26 12:13:00, Rosa Ramirez BailÃ³n , modificÃ³ el valor _Factura_ en la columna _Tipo de comprobante_;2025-09-26 12:13:00, Rosa Ramirez BailÃ³n , modificÃ³ el valor _Factura faltante_ en la columna _Numero de documento_;2025-09-26 12:13:00, Rosa Ramirez BailÃ³n , modificÃ³ el valor _FileStore/2025-09-26/y7VtrhED5v.pdf_ en la columna _PDF_</t>
  </si>
  <si>
    <t>2025-09-24 16:36:40, null , registrÃ³ en el sistema un comprobante con valor: x.;2025-09-24 16:38:19, null , modificÃ³ el valor __ en la columna _Descripcion_;2025-09-24 17:24:37, null , modificÃ³ el valor _Factura_ en la columna _Tipo de comprobante_;2025-09-24 17:24:37, null , modificÃ³ el valor _Factura faltante_ en la columna _Numero de documento_;2025-09-24 17:24:37, null , modificÃ³ el valor _FileStore/2025-09-24/QAYrCbRVoI.pdf_ en la columna _PDF_</t>
  </si>
  <si>
    <t>2025-09-24 19:06:13, Rosa Ramirez BailÃ³n , registrÃ³ en el sistema un comprobante con valor: x.;2025-09-26 12:18:21, Rosa Ramirez BailÃ³n , modificÃ³ el valor _Factura_ en la columna _Tipo de comprobante_;2025-09-26 12:18:21, Rosa Ramirez BailÃ³n , modificÃ³ el valor _Factura faltante_ en la columna _Numero de documento_;2025-09-26 12:18:21, Rosa Ramirez BailÃ³n , modificÃ³ el valor _35.09_ en la columna _IGV_;2025-09-26 12:18:21, Rosa Ramirez BailÃ³n , modificÃ³ el valor _FileStore/2025-09-26/jqRuxknPTf.pdf_ en la columna _PDF_</t>
  </si>
  <si>
    <t>2025-09-24 23:59:40, Jessica MuÃ±oz Diaz , registrÃ³ en el sistema un comprobante con valor: x.</t>
  </si>
  <si>
    <t>2025-09-25 11:26:48, Gerson Tintaya Apaza , registrÃ³ en el sistema un comprobante con valor: x.;2025-09-25 11:27:13, Gerson Tintaya Apaza , modificÃ³ el valor __ en la columna _Descripcion_;2025-09-25 11:27:20, Gerson Tintaya Apaza , modificÃ³ el valor _KIT Y BOTIQUIN  3 UNID _ en la columna _Descripcion_;2025-09-29 14:20:47, Gerson Tintaya Apaza , modificÃ³ el valor _Factura_ en la columna _Tipo de comprobante_;2025-09-29 14:20:47, Gerson Tintaya Apaza , modificÃ³ el valor _Factura faltante_ en la columna _Numero de documento_;2025-09-29 14:20:47, Gerson Tintaya Apaza , modificÃ³ el valor _711.85_ en la columna _Comprobante valor sin IGV_;2025-09-29 14:20:47, Gerson Tintaya Apaza , modificÃ³ el valor _128.13_ en la columna _IGV_;2025-09-29 14:20:47, Gerson Tintaya Apaza , modificÃ³ el valor _FileStore/2025-09-29/MTB3GojI6a.pdf_ en la columna _PDF_;2025-10-09 14:07:12, Jessica MuÃ±oz Diaz , modificÃ³ el valor _GERSON KIT Y BOTIQUIN  3 UNID _ en la columna _Descripcion_</t>
  </si>
  <si>
    <t>2025-09-25 11:29:51, Gerson Tintaya Apaza , registrÃ³ en el sistema un comprobante con valor: x.;2025-09-26 08:19:45, Gerson Tintaya Apaza , modificÃ³ el valor _Factura_ en la columna _Tipo de comprobante_;2025-09-26 08:19:45, Gerson Tintaya Apaza , modificÃ³ el valor _Factura faltante_ en la columna _Numero de documento_;2025-09-26 08:19:45, Gerson Tintaya Apaza , modificÃ³ el valor _FileStore/2025-09-26/o0cue87tS9.pdf_ en la columna _PDF_;2025-10-09 14:07:04, Jessica MuÃ±oz Diaz , modificÃ³ el valor _GERSON 6TACOS_ en la columna _Descripcion_</t>
  </si>
  <si>
    <t>2025-09-26 11:28:45, Rosa Ramirez BailÃ³n , registrÃ³ en el sistema un comprobante con valor: x.;2025-09-26 12:15:23, Rosa Ramirez BailÃ³n , modificÃ³ el valor _Factura_ en la columna _Tipo de comprobante_;2025-09-26 12:15:23, Rosa Ramirez BailÃ³n , modificÃ³ el valor _Factura faltante_ en la columna _Numero de documento_;2025-09-26 12:15:23, Rosa Ramirez BailÃ³n , modificÃ³ el valor _FileStore/2025-09-26/Bv1X3DiUyR.pdf_ en la columna _PDF_</t>
  </si>
  <si>
    <t>2025-09-28 23:52:27, Jessica MuÃ±oz Diaz , registrÃ³ en el sistema un comprobante con valor: x.</t>
  </si>
  <si>
    <t>valorFactura</t>
  </si>
  <si>
    <t>EN SOLES</t>
  </si>
  <si>
    <t>VALOR FINAL</t>
  </si>
  <si>
    <t>EN SOLES TEXTO</t>
  </si>
  <si>
    <t>VALOR EN DOCUMENTOS</t>
  </si>
  <si>
    <t>OBS</t>
  </si>
  <si>
    <t>ES IGUAL?</t>
  </si>
  <si>
    <t>valorFacturaSinIGV</t>
  </si>
  <si>
    <t>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</si>
</sst>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Alignment="1"/>
    <xf numFmtId="22" fontId="0" fillId="0" borderId="0" xfId="0" applyNumberFormat="1" applyAlignmen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8"/>
  <sheetViews>
    <sheetView topLeftCell="A16" workbookViewId="0">
      <selection sqref="A1:O107"/>
    </sheetView>
  </sheetViews>
  <sheetFormatPr baseColWidth="10"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hidden="1" x14ac:dyDescent="0.25">
      <c r="A3" t="s">
        <v>15</v>
      </c>
      <c r="B3" t="s">
        <v>28</v>
      </c>
      <c r="C3" t="s">
        <v>29</v>
      </c>
      <c r="D3" t="s">
        <v>18</v>
      </c>
      <c r="E3" t="s">
        <v>18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33</v>
      </c>
      <c r="L3" t="s">
        <v>24</v>
      </c>
      <c r="M3" t="s">
        <v>25</v>
      </c>
      <c r="N3" t="s">
        <v>34</v>
      </c>
      <c r="O3" t="s">
        <v>35</v>
      </c>
    </row>
    <row r="4" spans="1:15" hidden="1" x14ac:dyDescent="0.25">
      <c r="A4" t="s">
        <v>15</v>
      </c>
      <c r="B4" t="s">
        <v>28</v>
      </c>
      <c r="C4" t="s">
        <v>29</v>
      </c>
      <c r="D4" t="s">
        <v>18</v>
      </c>
      <c r="E4" t="s">
        <v>18</v>
      </c>
      <c r="F4" t="s">
        <v>36</v>
      </c>
      <c r="G4" t="s">
        <v>37</v>
      </c>
      <c r="H4" t="s">
        <v>38</v>
      </c>
      <c r="I4" t="s">
        <v>39</v>
      </c>
      <c r="J4" t="s">
        <v>39</v>
      </c>
      <c r="K4" t="s">
        <v>40</v>
      </c>
      <c r="L4" t="s">
        <v>24</v>
      </c>
      <c r="M4" t="s">
        <v>25</v>
      </c>
      <c r="N4" t="s">
        <v>41</v>
      </c>
      <c r="O4" t="s">
        <v>42</v>
      </c>
    </row>
    <row r="5" spans="1:15" hidden="1" x14ac:dyDescent="0.25">
      <c r="A5" t="s">
        <v>15</v>
      </c>
      <c r="B5" t="s">
        <v>28</v>
      </c>
      <c r="C5" t="s">
        <v>29</v>
      </c>
      <c r="D5" t="s">
        <v>18</v>
      </c>
      <c r="E5" t="s">
        <v>18</v>
      </c>
      <c r="F5" t="s">
        <v>43</v>
      </c>
      <c r="G5" t="s">
        <v>44</v>
      </c>
      <c r="H5" t="s">
        <v>45</v>
      </c>
      <c r="I5" t="s">
        <v>46</v>
      </c>
      <c r="J5" t="s">
        <v>46</v>
      </c>
      <c r="K5" t="s">
        <v>47</v>
      </c>
      <c r="L5" t="s">
        <v>24</v>
      </c>
      <c r="M5" t="s">
        <v>48</v>
      </c>
      <c r="N5" t="s">
        <v>49</v>
      </c>
      <c r="O5" t="s">
        <v>50</v>
      </c>
    </row>
    <row r="6" spans="1:15" hidden="1" x14ac:dyDescent="0.25">
      <c r="A6" t="s">
        <v>15</v>
      </c>
      <c r="B6" t="s">
        <v>28</v>
      </c>
      <c r="C6" t="s">
        <v>29</v>
      </c>
      <c r="D6" t="s">
        <v>18</v>
      </c>
      <c r="E6" t="s">
        <v>18</v>
      </c>
      <c r="F6" t="s">
        <v>51</v>
      </c>
      <c r="G6" t="s">
        <v>52</v>
      </c>
      <c r="H6" t="s">
        <v>53</v>
      </c>
      <c r="I6" t="s">
        <v>54</v>
      </c>
      <c r="J6" t="s">
        <v>54</v>
      </c>
      <c r="K6" t="s">
        <v>55</v>
      </c>
      <c r="L6" t="s">
        <v>24</v>
      </c>
      <c r="M6" t="s">
        <v>48</v>
      </c>
      <c r="N6" t="s">
        <v>56</v>
      </c>
      <c r="O6" t="s">
        <v>57</v>
      </c>
    </row>
    <row r="7" spans="1:15" hidden="1" x14ac:dyDescent="0.25">
      <c r="A7" t="s">
        <v>15</v>
      </c>
      <c r="B7" t="s">
        <v>28</v>
      </c>
      <c r="C7" t="s">
        <v>29</v>
      </c>
      <c r="D7" t="s">
        <v>18</v>
      </c>
      <c r="E7" t="s">
        <v>18</v>
      </c>
      <c r="F7" t="s">
        <v>58</v>
      </c>
      <c r="G7" t="s">
        <v>59</v>
      </c>
      <c r="H7" t="s">
        <v>60</v>
      </c>
      <c r="I7" t="s">
        <v>61</v>
      </c>
      <c r="J7" t="s">
        <v>61</v>
      </c>
      <c r="K7" t="s">
        <v>62</v>
      </c>
      <c r="L7" t="s">
        <v>24</v>
      </c>
      <c r="M7" t="s">
        <v>25</v>
      </c>
      <c r="N7" t="s">
        <v>63</v>
      </c>
      <c r="O7" t="s">
        <v>64</v>
      </c>
    </row>
    <row r="8" spans="1:15" x14ac:dyDescent="0.25">
      <c r="A8" t="s">
        <v>15</v>
      </c>
      <c r="B8" t="s">
        <v>65</v>
      </c>
      <c r="C8" t="s">
        <v>66</v>
      </c>
      <c r="D8" t="s">
        <v>18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71</v>
      </c>
      <c r="K8" t="s">
        <v>72</v>
      </c>
      <c r="L8" t="s">
        <v>73</v>
      </c>
      <c r="M8" t="s">
        <v>25</v>
      </c>
      <c r="N8" t="s">
        <v>74</v>
      </c>
      <c r="O8" t="s">
        <v>75</v>
      </c>
    </row>
    <row r="9" spans="1:15" x14ac:dyDescent="0.25">
      <c r="A9" t="s">
        <v>15</v>
      </c>
      <c r="B9" t="s">
        <v>65</v>
      </c>
      <c r="C9" t="s">
        <v>76</v>
      </c>
      <c r="D9" t="s">
        <v>18</v>
      </c>
      <c r="E9" t="s">
        <v>77</v>
      </c>
      <c r="F9" t="s">
        <v>78</v>
      </c>
      <c r="G9" t="s">
        <v>79</v>
      </c>
      <c r="H9" t="s">
        <v>80</v>
      </c>
      <c r="I9" t="s">
        <v>80</v>
      </c>
      <c r="J9" t="s">
        <v>80</v>
      </c>
      <c r="K9" t="s">
        <v>81</v>
      </c>
      <c r="L9" t="s">
        <v>82</v>
      </c>
      <c r="M9" t="s">
        <v>25</v>
      </c>
      <c r="N9" t="s">
        <v>83</v>
      </c>
      <c r="O9" t="s">
        <v>84</v>
      </c>
    </row>
    <row r="10" spans="1:15" x14ac:dyDescent="0.25">
      <c r="A10" t="s">
        <v>15</v>
      </c>
      <c r="B10" t="s">
        <v>65</v>
      </c>
      <c r="C10" t="s">
        <v>85</v>
      </c>
      <c r="D10" t="s">
        <v>18</v>
      </c>
      <c r="E10" t="s">
        <v>86</v>
      </c>
      <c r="F10" t="s">
        <v>87</v>
      </c>
      <c r="G10" t="s">
        <v>88</v>
      </c>
      <c r="H10" t="s">
        <v>89</v>
      </c>
      <c r="I10" t="s">
        <v>89</v>
      </c>
      <c r="J10" t="s">
        <v>89</v>
      </c>
      <c r="K10" t="s">
        <v>90</v>
      </c>
      <c r="L10" t="s">
        <v>91</v>
      </c>
      <c r="M10" t="s">
        <v>25</v>
      </c>
      <c r="N10" t="s">
        <v>92</v>
      </c>
      <c r="O10" t="s">
        <v>93</v>
      </c>
    </row>
    <row r="11" spans="1:15" x14ac:dyDescent="0.25">
      <c r="A11" t="s">
        <v>15</v>
      </c>
      <c r="B11" t="s">
        <v>65</v>
      </c>
      <c r="C11" t="s">
        <v>94</v>
      </c>
      <c r="D11" t="s">
        <v>18</v>
      </c>
      <c r="E11" t="s">
        <v>95</v>
      </c>
      <c r="F11" t="s">
        <v>96</v>
      </c>
      <c r="G11" t="s">
        <v>97</v>
      </c>
      <c r="H11" t="s">
        <v>98</v>
      </c>
      <c r="I11" t="s">
        <v>98</v>
      </c>
      <c r="J11" t="s">
        <v>98</v>
      </c>
      <c r="K11" t="s">
        <v>99</v>
      </c>
      <c r="L11" t="s">
        <v>100</v>
      </c>
      <c r="M11" t="s">
        <v>25</v>
      </c>
      <c r="N11" t="s">
        <v>101</v>
      </c>
      <c r="O11" t="s">
        <v>102</v>
      </c>
    </row>
    <row r="12" spans="1:15" x14ac:dyDescent="0.25">
      <c r="A12" t="s">
        <v>15</v>
      </c>
      <c r="B12" t="s">
        <v>65</v>
      </c>
      <c r="C12" t="s">
        <v>103</v>
      </c>
      <c r="D12" t="s">
        <v>18</v>
      </c>
      <c r="E12" t="s">
        <v>104</v>
      </c>
      <c r="F12" t="s">
        <v>105</v>
      </c>
      <c r="G12" t="s">
        <v>106</v>
      </c>
      <c r="H12" t="s">
        <v>107</v>
      </c>
      <c r="I12" t="s">
        <v>107</v>
      </c>
      <c r="J12" t="s">
        <v>107</v>
      </c>
      <c r="K12" t="s">
        <v>108</v>
      </c>
      <c r="L12" t="s">
        <v>109</v>
      </c>
      <c r="M12" t="s">
        <v>25</v>
      </c>
      <c r="N12" t="s">
        <v>110</v>
      </c>
      <c r="O12" t="s">
        <v>111</v>
      </c>
    </row>
    <row r="13" spans="1:15" hidden="1" x14ac:dyDescent="0.25">
      <c r="A13" t="s">
        <v>15</v>
      </c>
      <c r="B13" t="s">
        <v>112</v>
      </c>
      <c r="C13" t="s">
        <v>18</v>
      </c>
      <c r="D13" t="s">
        <v>113</v>
      </c>
      <c r="E13" t="s">
        <v>18</v>
      </c>
      <c r="F13" t="s">
        <v>114</v>
      </c>
      <c r="G13" t="s">
        <v>115</v>
      </c>
      <c r="H13" t="s">
        <v>116</v>
      </c>
      <c r="I13" t="s">
        <v>117</v>
      </c>
      <c r="J13" t="s">
        <v>116</v>
      </c>
      <c r="K13" t="s">
        <v>118</v>
      </c>
      <c r="L13" t="s">
        <v>119</v>
      </c>
      <c r="M13" t="s">
        <v>48</v>
      </c>
      <c r="N13" t="s">
        <v>120</v>
      </c>
      <c r="O13" t="s">
        <v>121</v>
      </c>
    </row>
    <row r="14" spans="1:15" hidden="1" x14ac:dyDescent="0.25">
      <c r="A14" t="s">
        <v>15</v>
      </c>
      <c r="B14" t="s">
        <v>112</v>
      </c>
      <c r="C14" t="s">
        <v>18</v>
      </c>
      <c r="D14" t="s">
        <v>122</v>
      </c>
      <c r="E14" t="s">
        <v>18</v>
      </c>
      <c r="F14" t="s">
        <v>87</v>
      </c>
      <c r="G14" t="s">
        <v>123</v>
      </c>
      <c r="H14" t="s">
        <v>124</v>
      </c>
      <c r="I14" t="s">
        <v>125</v>
      </c>
      <c r="J14" t="s">
        <v>124</v>
      </c>
      <c r="K14" t="s">
        <v>126</v>
      </c>
      <c r="L14" t="s">
        <v>127</v>
      </c>
      <c r="M14" t="s">
        <v>25</v>
      </c>
      <c r="N14" t="s">
        <v>128</v>
      </c>
      <c r="O14" t="s">
        <v>129</v>
      </c>
    </row>
    <row r="15" spans="1:15" hidden="1" x14ac:dyDescent="0.25">
      <c r="A15" t="s">
        <v>15</v>
      </c>
      <c r="B15" t="s">
        <v>112</v>
      </c>
      <c r="C15" t="s">
        <v>18</v>
      </c>
      <c r="D15" t="s">
        <v>130</v>
      </c>
      <c r="E15" t="s">
        <v>18</v>
      </c>
      <c r="F15" t="s">
        <v>131</v>
      </c>
      <c r="G15" t="s">
        <v>132</v>
      </c>
      <c r="H15" t="s">
        <v>133</v>
      </c>
      <c r="I15" t="s">
        <v>134</v>
      </c>
      <c r="J15" t="s">
        <v>133</v>
      </c>
      <c r="K15" t="s">
        <v>135</v>
      </c>
      <c r="L15" t="s">
        <v>136</v>
      </c>
      <c r="M15" t="s">
        <v>48</v>
      </c>
      <c r="N15" t="s">
        <v>137</v>
      </c>
      <c r="O15" t="s">
        <v>138</v>
      </c>
    </row>
    <row r="16" spans="1:15" x14ac:dyDescent="0.25">
      <c r="A16" t="s">
        <v>15</v>
      </c>
      <c r="B16" t="s">
        <v>65</v>
      </c>
      <c r="C16" t="s">
        <v>139</v>
      </c>
      <c r="D16" t="s">
        <v>18</v>
      </c>
      <c r="E16" t="s">
        <v>140</v>
      </c>
      <c r="F16" t="s">
        <v>141</v>
      </c>
      <c r="G16" t="s">
        <v>142</v>
      </c>
      <c r="H16" t="s">
        <v>143</v>
      </c>
      <c r="I16" t="s">
        <v>143</v>
      </c>
      <c r="J16" t="s">
        <v>143</v>
      </c>
      <c r="K16" t="s">
        <v>144</v>
      </c>
      <c r="L16" t="s">
        <v>145</v>
      </c>
      <c r="M16" t="s">
        <v>25</v>
      </c>
      <c r="N16" t="s">
        <v>146</v>
      </c>
      <c r="O16" t="s">
        <v>147</v>
      </c>
    </row>
    <row r="17" spans="1:15" hidden="1" x14ac:dyDescent="0.25">
      <c r="A17" t="s">
        <v>15</v>
      </c>
      <c r="B17" t="s">
        <v>112</v>
      </c>
      <c r="C17" t="s">
        <v>18</v>
      </c>
      <c r="D17" t="s">
        <v>148</v>
      </c>
      <c r="E17" t="s">
        <v>18</v>
      </c>
      <c r="F17" t="s">
        <v>149</v>
      </c>
      <c r="G17" t="s">
        <v>150</v>
      </c>
      <c r="H17" t="s">
        <v>151</v>
      </c>
      <c r="I17" t="s">
        <v>152</v>
      </c>
      <c r="J17" t="s">
        <v>151</v>
      </c>
      <c r="K17" t="s">
        <v>153</v>
      </c>
      <c r="L17" t="s">
        <v>154</v>
      </c>
      <c r="M17" t="s">
        <v>25</v>
      </c>
      <c r="N17" t="s">
        <v>155</v>
      </c>
      <c r="O17" t="s">
        <v>156</v>
      </c>
    </row>
    <row r="18" spans="1:15" hidden="1" x14ac:dyDescent="0.25">
      <c r="A18" t="s">
        <v>15</v>
      </c>
      <c r="B18" t="s">
        <v>112</v>
      </c>
      <c r="C18" t="s">
        <v>18</v>
      </c>
      <c r="D18" t="s">
        <v>157</v>
      </c>
      <c r="E18" t="s">
        <v>18</v>
      </c>
      <c r="F18" t="s">
        <v>158</v>
      </c>
      <c r="G18" t="s">
        <v>159</v>
      </c>
      <c r="H18" t="s">
        <v>160</v>
      </c>
      <c r="I18" t="s">
        <v>161</v>
      </c>
      <c r="J18" t="s">
        <v>160</v>
      </c>
      <c r="K18" t="s">
        <v>162</v>
      </c>
      <c r="L18" t="s">
        <v>163</v>
      </c>
      <c r="M18" t="s">
        <v>48</v>
      </c>
      <c r="N18" t="s">
        <v>164</v>
      </c>
      <c r="O18" t="s">
        <v>165</v>
      </c>
    </row>
    <row r="19" spans="1:15" hidden="1" x14ac:dyDescent="0.25">
      <c r="A19" t="s">
        <v>15</v>
      </c>
      <c r="B19" t="s">
        <v>112</v>
      </c>
      <c r="C19" t="s">
        <v>18</v>
      </c>
      <c r="D19" t="s">
        <v>166</v>
      </c>
      <c r="E19" t="s">
        <v>18</v>
      </c>
      <c r="F19" t="s">
        <v>167</v>
      </c>
      <c r="G19" t="s">
        <v>168</v>
      </c>
      <c r="H19" t="s">
        <v>169</v>
      </c>
      <c r="I19" t="s">
        <v>170</v>
      </c>
      <c r="J19" t="s">
        <v>169</v>
      </c>
      <c r="K19" t="s">
        <v>171</v>
      </c>
      <c r="L19" t="s">
        <v>172</v>
      </c>
      <c r="M19" t="s">
        <v>25</v>
      </c>
      <c r="N19" t="s">
        <v>173</v>
      </c>
      <c r="O19" t="s">
        <v>174</v>
      </c>
    </row>
    <row r="20" spans="1:15" hidden="1" x14ac:dyDescent="0.25">
      <c r="A20" t="s">
        <v>15</v>
      </c>
      <c r="B20" t="s">
        <v>112</v>
      </c>
      <c r="C20" t="s">
        <v>18</v>
      </c>
      <c r="D20" t="s">
        <v>166</v>
      </c>
      <c r="E20" t="s">
        <v>18</v>
      </c>
      <c r="F20" t="s">
        <v>175</v>
      </c>
      <c r="G20" t="s">
        <v>176</v>
      </c>
      <c r="H20" t="s">
        <v>177</v>
      </c>
      <c r="I20" t="s">
        <v>178</v>
      </c>
      <c r="J20" t="s">
        <v>177</v>
      </c>
      <c r="K20" t="s">
        <v>179</v>
      </c>
      <c r="L20" t="s">
        <v>180</v>
      </c>
      <c r="M20" t="s">
        <v>25</v>
      </c>
      <c r="N20" t="s">
        <v>181</v>
      </c>
      <c r="O20" t="s">
        <v>182</v>
      </c>
    </row>
    <row r="21" spans="1:15" x14ac:dyDescent="0.25">
      <c r="A21" t="s">
        <v>15</v>
      </c>
      <c r="B21" t="s">
        <v>65</v>
      </c>
      <c r="C21" t="s">
        <v>139</v>
      </c>
      <c r="D21" t="s">
        <v>18</v>
      </c>
      <c r="E21" t="s">
        <v>183</v>
      </c>
      <c r="F21" t="s">
        <v>184</v>
      </c>
      <c r="G21" t="s">
        <v>185</v>
      </c>
      <c r="H21" t="s">
        <v>186</v>
      </c>
      <c r="I21" t="s">
        <v>186</v>
      </c>
      <c r="J21" t="s">
        <v>186</v>
      </c>
      <c r="K21" t="s">
        <v>187</v>
      </c>
      <c r="L21" t="s">
        <v>188</v>
      </c>
      <c r="M21" t="s">
        <v>25</v>
      </c>
      <c r="N21" t="s">
        <v>189</v>
      </c>
      <c r="O21" t="s">
        <v>190</v>
      </c>
    </row>
    <row r="22" spans="1:15" x14ac:dyDescent="0.25">
      <c r="A22" t="s">
        <v>15</v>
      </c>
      <c r="B22" t="s">
        <v>65</v>
      </c>
      <c r="C22" t="s">
        <v>191</v>
      </c>
      <c r="D22" t="s">
        <v>18</v>
      </c>
      <c r="E22" t="s">
        <v>192</v>
      </c>
      <c r="F22" t="s">
        <v>193</v>
      </c>
      <c r="G22" t="s">
        <v>194</v>
      </c>
      <c r="H22" t="s">
        <v>195</v>
      </c>
      <c r="I22" t="s">
        <v>195</v>
      </c>
      <c r="J22" t="s">
        <v>195</v>
      </c>
      <c r="K22" t="s">
        <v>196</v>
      </c>
      <c r="L22" t="s">
        <v>197</v>
      </c>
      <c r="M22" t="s">
        <v>48</v>
      </c>
      <c r="N22" t="s">
        <v>198</v>
      </c>
      <c r="O22" t="s">
        <v>199</v>
      </c>
    </row>
    <row r="23" spans="1:15" hidden="1" x14ac:dyDescent="0.25">
      <c r="A23" t="s">
        <v>15</v>
      </c>
      <c r="B23" t="s">
        <v>28</v>
      </c>
      <c r="C23" t="s">
        <v>200</v>
      </c>
      <c r="D23" t="s">
        <v>18</v>
      </c>
      <c r="E23" t="s">
        <v>18</v>
      </c>
      <c r="F23" t="s">
        <v>201</v>
      </c>
      <c r="G23" t="s">
        <v>202</v>
      </c>
      <c r="H23" t="s">
        <v>203</v>
      </c>
      <c r="I23" t="s">
        <v>204</v>
      </c>
      <c r="J23" t="s">
        <v>204</v>
      </c>
      <c r="K23" t="s">
        <v>205</v>
      </c>
      <c r="L23" t="s">
        <v>206</v>
      </c>
      <c r="M23" t="s">
        <v>25</v>
      </c>
      <c r="N23" t="s">
        <v>207</v>
      </c>
      <c r="O23" t="s">
        <v>208</v>
      </c>
    </row>
    <row r="24" spans="1:15" x14ac:dyDescent="0.25">
      <c r="A24" t="s">
        <v>15</v>
      </c>
      <c r="B24" t="s">
        <v>65</v>
      </c>
      <c r="C24" t="s">
        <v>209</v>
      </c>
      <c r="D24" t="s">
        <v>18</v>
      </c>
      <c r="E24" t="s">
        <v>210</v>
      </c>
      <c r="F24" t="s">
        <v>211</v>
      </c>
      <c r="G24" t="s">
        <v>212</v>
      </c>
      <c r="H24" t="s">
        <v>213</v>
      </c>
      <c r="I24" t="s">
        <v>213</v>
      </c>
      <c r="J24" t="s">
        <v>213</v>
      </c>
      <c r="K24" t="s">
        <v>214</v>
      </c>
      <c r="L24" t="s">
        <v>215</v>
      </c>
      <c r="M24" t="s">
        <v>25</v>
      </c>
      <c r="N24" t="s">
        <v>216</v>
      </c>
      <c r="O24" t="s">
        <v>217</v>
      </c>
    </row>
    <row r="25" spans="1:15" x14ac:dyDescent="0.25">
      <c r="A25" t="s">
        <v>15</v>
      </c>
      <c r="B25" t="s">
        <v>65</v>
      </c>
      <c r="C25" t="s">
        <v>218</v>
      </c>
      <c r="D25" t="s">
        <v>18</v>
      </c>
      <c r="E25" t="s">
        <v>219</v>
      </c>
      <c r="F25" t="s">
        <v>220</v>
      </c>
      <c r="G25" t="s">
        <v>221</v>
      </c>
      <c r="H25" t="s">
        <v>222</v>
      </c>
      <c r="I25" t="s">
        <v>222</v>
      </c>
      <c r="J25" t="s">
        <v>222</v>
      </c>
      <c r="K25" t="s">
        <v>223</v>
      </c>
      <c r="L25" t="s">
        <v>224</v>
      </c>
      <c r="M25" t="s">
        <v>25</v>
      </c>
      <c r="N25" t="s">
        <v>225</v>
      </c>
      <c r="O25" t="s">
        <v>226</v>
      </c>
    </row>
    <row r="26" spans="1:15" x14ac:dyDescent="0.25">
      <c r="A26" t="s">
        <v>15</v>
      </c>
      <c r="B26" t="s">
        <v>65</v>
      </c>
      <c r="C26" t="s">
        <v>227</v>
      </c>
      <c r="D26" t="s">
        <v>18</v>
      </c>
      <c r="E26" t="s">
        <v>228</v>
      </c>
      <c r="F26" t="s">
        <v>229</v>
      </c>
      <c r="G26" t="s">
        <v>230</v>
      </c>
      <c r="H26" t="s">
        <v>231</v>
      </c>
      <c r="I26" t="s">
        <v>232</v>
      </c>
      <c r="J26" t="s">
        <v>232</v>
      </c>
      <c r="K26" t="s">
        <v>233</v>
      </c>
      <c r="L26" t="s">
        <v>234</v>
      </c>
      <c r="M26" t="s">
        <v>25</v>
      </c>
      <c r="N26" t="s">
        <v>235</v>
      </c>
      <c r="O26" t="s">
        <v>236</v>
      </c>
    </row>
    <row r="27" spans="1:15" x14ac:dyDescent="0.25">
      <c r="A27" t="s">
        <v>15</v>
      </c>
      <c r="B27" t="s">
        <v>65</v>
      </c>
      <c r="C27" t="s">
        <v>227</v>
      </c>
      <c r="D27" t="s">
        <v>18</v>
      </c>
      <c r="E27" t="s">
        <v>237</v>
      </c>
      <c r="F27" t="s">
        <v>238</v>
      </c>
      <c r="G27" t="s">
        <v>239</v>
      </c>
      <c r="H27" t="s">
        <v>240</v>
      </c>
      <c r="I27" t="s">
        <v>240</v>
      </c>
      <c r="J27" t="s">
        <v>240</v>
      </c>
      <c r="K27" t="s">
        <v>241</v>
      </c>
      <c r="L27" t="s">
        <v>242</v>
      </c>
      <c r="M27" t="s">
        <v>25</v>
      </c>
      <c r="N27" t="s">
        <v>243</v>
      </c>
      <c r="O27" t="s">
        <v>244</v>
      </c>
    </row>
    <row r="28" spans="1:15" x14ac:dyDescent="0.25">
      <c r="A28" t="s">
        <v>15</v>
      </c>
      <c r="B28" t="s">
        <v>65</v>
      </c>
      <c r="C28" t="s">
        <v>227</v>
      </c>
      <c r="D28" t="s">
        <v>18</v>
      </c>
      <c r="E28" t="s">
        <v>245</v>
      </c>
      <c r="F28" t="s">
        <v>246</v>
      </c>
      <c r="G28" t="s">
        <v>247</v>
      </c>
      <c r="H28" t="s">
        <v>248</v>
      </c>
      <c r="I28" t="s">
        <v>249</v>
      </c>
      <c r="J28" t="s">
        <v>249</v>
      </c>
      <c r="K28" t="s">
        <v>250</v>
      </c>
      <c r="L28" t="s">
        <v>251</v>
      </c>
      <c r="M28" t="s">
        <v>25</v>
      </c>
      <c r="N28" t="s">
        <v>252</v>
      </c>
      <c r="O28" t="s">
        <v>253</v>
      </c>
    </row>
    <row r="29" spans="1:15" x14ac:dyDescent="0.25">
      <c r="A29" t="s">
        <v>15</v>
      </c>
      <c r="B29" t="s">
        <v>65</v>
      </c>
      <c r="C29" t="s">
        <v>227</v>
      </c>
      <c r="D29" t="s">
        <v>18</v>
      </c>
      <c r="E29" t="s">
        <v>254</v>
      </c>
      <c r="F29" t="s">
        <v>255</v>
      </c>
      <c r="G29" t="s">
        <v>256</v>
      </c>
      <c r="H29" t="s">
        <v>257</v>
      </c>
      <c r="I29" t="s">
        <v>258</v>
      </c>
      <c r="J29" t="s">
        <v>258</v>
      </c>
      <c r="K29" t="s">
        <v>259</v>
      </c>
      <c r="L29" t="s">
        <v>260</v>
      </c>
      <c r="M29" t="s">
        <v>25</v>
      </c>
      <c r="N29" t="s">
        <v>261</v>
      </c>
      <c r="O29" t="s">
        <v>262</v>
      </c>
    </row>
    <row r="30" spans="1:15" x14ac:dyDescent="0.25">
      <c r="A30" t="s">
        <v>15</v>
      </c>
      <c r="B30" t="s">
        <v>65</v>
      </c>
      <c r="C30" t="s">
        <v>227</v>
      </c>
      <c r="D30" t="s">
        <v>18</v>
      </c>
      <c r="E30" t="s">
        <v>263</v>
      </c>
      <c r="F30" t="s">
        <v>264</v>
      </c>
      <c r="G30" t="s">
        <v>265</v>
      </c>
      <c r="H30" t="s">
        <v>266</v>
      </c>
      <c r="I30" t="s">
        <v>267</v>
      </c>
      <c r="J30" t="s">
        <v>267</v>
      </c>
      <c r="K30" t="s">
        <v>233</v>
      </c>
      <c r="L30" t="s">
        <v>234</v>
      </c>
      <c r="M30" t="s">
        <v>25</v>
      </c>
      <c r="N30" t="s">
        <v>268</v>
      </c>
      <c r="O30" t="s">
        <v>269</v>
      </c>
    </row>
    <row r="31" spans="1:15" x14ac:dyDescent="0.25">
      <c r="A31" t="s">
        <v>15</v>
      </c>
      <c r="B31" t="s">
        <v>65</v>
      </c>
      <c r="C31" t="s">
        <v>227</v>
      </c>
      <c r="D31" t="s">
        <v>18</v>
      </c>
      <c r="E31" t="s">
        <v>270</v>
      </c>
      <c r="F31" t="s">
        <v>271</v>
      </c>
      <c r="G31" t="s">
        <v>272</v>
      </c>
      <c r="H31" t="s">
        <v>273</v>
      </c>
      <c r="I31" t="s">
        <v>274</v>
      </c>
      <c r="J31" t="s">
        <v>274</v>
      </c>
      <c r="K31" t="s">
        <v>275</v>
      </c>
      <c r="L31" t="s">
        <v>276</v>
      </c>
      <c r="M31" t="s">
        <v>25</v>
      </c>
      <c r="N31" t="s">
        <v>277</v>
      </c>
      <c r="O31" t="s">
        <v>278</v>
      </c>
    </row>
    <row r="32" spans="1:15" x14ac:dyDescent="0.25">
      <c r="A32" t="s">
        <v>15</v>
      </c>
      <c r="B32" t="s">
        <v>65</v>
      </c>
      <c r="C32" t="s">
        <v>227</v>
      </c>
      <c r="D32" t="s">
        <v>18</v>
      </c>
      <c r="E32" t="s">
        <v>279</v>
      </c>
      <c r="F32" t="s">
        <v>280</v>
      </c>
      <c r="G32" t="s">
        <v>281</v>
      </c>
      <c r="H32" t="s">
        <v>282</v>
      </c>
      <c r="I32" t="s">
        <v>282</v>
      </c>
      <c r="J32" t="s">
        <v>283</v>
      </c>
      <c r="K32" t="s">
        <v>284</v>
      </c>
      <c r="L32" t="s">
        <v>285</v>
      </c>
      <c r="M32" t="s">
        <v>25</v>
      </c>
      <c r="N32" t="s">
        <v>286</v>
      </c>
      <c r="O32" t="s">
        <v>287</v>
      </c>
    </row>
    <row r="33" spans="1:15" x14ac:dyDescent="0.25">
      <c r="A33" t="s">
        <v>15</v>
      </c>
      <c r="B33" t="s">
        <v>65</v>
      </c>
      <c r="C33" t="s">
        <v>227</v>
      </c>
      <c r="D33" t="s">
        <v>18</v>
      </c>
      <c r="E33" t="s">
        <v>288</v>
      </c>
      <c r="F33" t="s">
        <v>255</v>
      </c>
      <c r="G33" t="s">
        <v>289</v>
      </c>
      <c r="H33" t="s">
        <v>290</v>
      </c>
      <c r="I33" t="s">
        <v>290</v>
      </c>
      <c r="J33" t="s">
        <v>290</v>
      </c>
      <c r="K33" t="s">
        <v>291</v>
      </c>
      <c r="L33" t="s">
        <v>292</v>
      </c>
      <c r="M33" t="s">
        <v>25</v>
      </c>
      <c r="N33" t="s">
        <v>293</v>
      </c>
      <c r="O33" t="s">
        <v>294</v>
      </c>
    </row>
    <row r="34" spans="1:15" hidden="1" x14ac:dyDescent="0.25">
      <c r="A34" t="s">
        <v>15</v>
      </c>
      <c r="B34" t="s">
        <v>112</v>
      </c>
      <c r="C34" t="s">
        <v>18</v>
      </c>
      <c r="D34" t="s">
        <v>295</v>
      </c>
      <c r="E34" t="s">
        <v>18</v>
      </c>
      <c r="F34" t="s">
        <v>296</v>
      </c>
      <c r="G34" t="s">
        <v>297</v>
      </c>
      <c r="H34" t="s">
        <v>298</v>
      </c>
      <c r="I34" t="s">
        <v>299</v>
      </c>
      <c r="J34" t="s">
        <v>298</v>
      </c>
      <c r="K34" t="s">
        <v>300</v>
      </c>
      <c r="L34" t="s">
        <v>301</v>
      </c>
      <c r="M34" t="s">
        <v>25</v>
      </c>
      <c r="N34" t="s">
        <v>302</v>
      </c>
      <c r="O34" t="s">
        <v>303</v>
      </c>
    </row>
    <row r="35" spans="1:15" hidden="1" x14ac:dyDescent="0.25">
      <c r="A35" t="s">
        <v>15</v>
      </c>
      <c r="B35" t="s">
        <v>112</v>
      </c>
      <c r="C35" t="s">
        <v>18</v>
      </c>
      <c r="D35" t="s">
        <v>304</v>
      </c>
      <c r="E35" t="s">
        <v>18</v>
      </c>
      <c r="F35" t="s">
        <v>305</v>
      </c>
      <c r="G35" t="s">
        <v>306</v>
      </c>
      <c r="H35" t="s">
        <v>307</v>
      </c>
      <c r="I35" t="s">
        <v>308</v>
      </c>
      <c r="J35" t="s">
        <v>307</v>
      </c>
      <c r="K35" t="s">
        <v>309</v>
      </c>
      <c r="L35" t="s">
        <v>310</v>
      </c>
      <c r="M35" t="s">
        <v>25</v>
      </c>
      <c r="N35" t="s">
        <v>311</v>
      </c>
      <c r="O35" t="s">
        <v>312</v>
      </c>
    </row>
    <row r="36" spans="1:15" hidden="1" x14ac:dyDescent="0.25">
      <c r="A36" t="s">
        <v>15</v>
      </c>
      <c r="B36" t="s">
        <v>112</v>
      </c>
      <c r="C36" t="s">
        <v>18</v>
      </c>
      <c r="D36" t="s">
        <v>313</v>
      </c>
      <c r="E36" t="s">
        <v>18</v>
      </c>
      <c r="F36" t="s">
        <v>314</v>
      </c>
      <c r="G36" t="s">
        <v>315</v>
      </c>
      <c r="H36" t="s">
        <v>316</v>
      </c>
      <c r="I36" t="s">
        <v>317</v>
      </c>
      <c r="J36" t="s">
        <v>316</v>
      </c>
      <c r="K36" t="s">
        <v>318</v>
      </c>
      <c r="L36" t="s">
        <v>319</v>
      </c>
      <c r="M36" t="s">
        <v>25</v>
      </c>
      <c r="N36" t="s">
        <v>320</v>
      </c>
      <c r="O36" t="s">
        <v>321</v>
      </c>
    </row>
    <row r="37" spans="1:15" hidden="1" x14ac:dyDescent="0.25">
      <c r="A37" t="s">
        <v>15</v>
      </c>
      <c r="B37" t="s">
        <v>112</v>
      </c>
      <c r="C37" t="s">
        <v>18</v>
      </c>
      <c r="D37" t="s">
        <v>322</v>
      </c>
      <c r="E37" t="s">
        <v>18</v>
      </c>
      <c r="F37" t="s">
        <v>323</v>
      </c>
      <c r="G37" t="s">
        <v>324</v>
      </c>
      <c r="H37" t="s">
        <v>325</v>
      </c>
      <c r="I37" t="s">
        <v>326</v>
      </c>
      <c r="J37" t="s">
        <v>325</v>
      </c>
      <c r="K37" t="s">
        <v>327</v>
      </c>
      <c r="L37" t="s">
        <v>328</v>
      </c>
      <c r="M37" t="s">
        <v>25</v>
      </c>
      <c r="N37" t="s">
        <v>329</v>
      </c>
      <c r="O37" t="s">
        <v>330</v>
      </c>
    </row>
    <row r="38" spans="1:15" x14ac:dyDescent="0.25">
      <c r="A38" t="s">
        <v>15</v>
      </c>
      <c r="B38" t="s">
        <v>65</v>
      </c>
      <c r="C38" t="s">
        <v>85</v>
      </c>
      <c r="D38" t="s">
        <v>18</v>
      </c>
      <c r="E38" t="s">
        <v>331</v>
      </c>
      <c r="F38" t="s">
        <v>332</v>
      </c>
      <c r="G38" t="s">
        <v>333</v>
      </c>
      <c r="H38" t="s">
        <v>334</v>
      </c>
      <c r="I38" t="s">
        <v>334</v>
      </c>
      <c r="J38" t="s">
        <v>334</v>
      </c>
      <c r="K38" t="s">
        <v>335</v>
      </c>
      <c r="L38" t="s">
        <v>336</v>
      </c>
      <c r="M38" t="s">
        <v>25</v>
      </c>
      <c r="N38" t="s">
        <v>337</v>
      </c>
      <c r="O38" t="s">
        <v>338</v>
      </c>
    </row>
    <row r="39" spans="1:15" x14ac:dyDescent="0.25">
      <c r="A39" t="s">
        <v>15</v>
      </c>
      <c r="B39" t="s">
        <v>65</v>
      </c>
      <c r="C39" t="s">
        <v>339</v>
      </c>
      <c r="D39" t="s">
        <v>18</v>
      </c>
      <c r="E39" t="s">
        <v>340</v>
      </c>
      <c r="F39" t="s">
        <v>341</v>
      </c>
      <c r="G39" t="s">
        <v>342</v>
      </c>
      <c r="H39" t="s">
        <v>343</v>
      </c>
      <c r="I39" t="s">
        <v>343</v>
      </c>
      <c r="J39" t="s">
        <v>343</v>
      </c>
      <c r="K39" t="s">
        <v>344</v>
      </c>
      <c r="L39" t="s">
        <v>345</v>
      </c>
      <c r="M39" t="s">
        <v>25</v>
      </c>
      <c r="N39" t="s">
        <v>346</v>
      </c>
      <c r="O39" t="s">
        <v>347</v>
      </c>
    </row>
    <row r="40" spans="1:15" hidden="1" x14ac:dyDescent="0.25">
      <c r="A40" t="s">
        <v>348</v>
      </c>
      <c r="B40" t="s">
        <v>349</v>
      </c>
      <c r="C40" t="s">
        <v>350</v>
      </c>
      <c r="D40" t="s">
        <v>18</v>
      </c>
      <c r="E40" t="s">
        <v>18</v>
      </c>
      <c r="F40" t="s">
        <v>351</v>
      </c>
      <c r="G40" t="s">
        <v>352</v>
      </c>
      <c r="H40" t="s">
        <v>353</v>
      </c>
      <c r="I40" t="s">
        <v>354</v>
      </c>
      <c r="J40" t="s">
        <v>354</v>
      </c>
      <c r="K40" t="s">
        <v>355</v>
      </c>
      <c r="L40" t="s">
        <v>356</v>
      </c>
      <c r="M40" t="s">
        <v>25</v>
      </c>
      <c r="N40" t="s">
        <v>357</v>
      </c>
      <c r="O40" t="s">
        <v>358</v>
      </c>
    </row>
    <row r="41" spans="1:15" x14ac:dyDescent="0.25">
      <c r="A41" t="s">
        <v>15</v>
      </c>
      <c r="B41" t="s">
        <v>65</v>
      </c>
      <c r="C41" t="s">
        <v>359</v>
      </c>
      <c r="D41" t="s">
        <v>18</v>
      </c>
      <c r="E41" t="s">
        <v>360</v>
      </c>
      <c r="F41" t="s">
        <v>361</v>
      </c>
      <c r="G41" t="s">
        <v>362</v>
      </c>
      <c r="H41" t="s">
        <v>363</v>
      </c>
      <c r="I41" t="s">
        <v>363</v>
      </c>
      <c r="J41" t="s">
        <v>363</v>
      </c>
      <c r="K41" t="s">
        <v>364</v>
      </c>
      <c r="L41" t="s">
        <v>365</v>
      </c>
      <c r="M41" t="s">
        <v>25</v>
      </c>
      <c r="N41" t="s">
        <v>366</v>
      </c>
      <c r="O41" t="s">
        <v>367</v>
      </c>
    </row>
    <row r="42" spans="1:15" x14ac:dyDescent="0.25">
      <c r="A42" t="s">
        <v>15</v>
      </c>
      <c r="B42" t="s">
        <v>65</v>
      </c>
      <c r="C42" t="s">
        <v>227</v>
      </c>
      <c r="D42" t="s">
        <v>18</v>
      </c>
      <c r="E42" t="s">
        <v>368</v>
      </c>
      <c r="F42" t="s">
        <v>369</v>
      </c>
      <c r="G42" t="s">
        <v>370</v>
      </c>
      <c r="H42" t="s">
        <v>371</v>
      </c>
      <c r="I42" t="s">
        <v>371</v>
      </c>
      <c r="J42" t="s">
        <v>371</v>
      </c>
      <c r="K42" t="s">
        <v>372</v>
      </c>
      <c r="L42" t="s">
        <v>373</v>
      </c>
      <c r="M42" t="s">
        <v>25</v>
      </c>
      <c r="N42" t="s">
        <v>374</v>
      </c>
      <c r="O42" t="s">
        <v>375</v>
      </c>
    </row>
    <row r="43" spans="1:15" x14ac:dyDescent="0.25">
      <c r="A43" t="s">
        <v>15</v>
      </c>
      <c r="B43" t="s">
        <v>65</v>
      </c>
      <c r="C43" t="s">
        <v>376</v>
      </c>
      <c r="D43" t="s">
        <v>18</v>
      </c>
      <c r="E43" t="s">
        <v>377</v>
      </c>
      <c r="G43" t="s">
        <v>378</v>
      </c>
      <c r="H43" t="s">
        <v>379</v>
      </c>
      <c r="I43" t="s">
        <v>379</v>
      </c>
      <c r="J43" t="s">
        <v>379</v>
      </c>
      <c r="K43" t="s">
        <v>380</v>
      </c>
      <c r="L43" t="s">
        <v>381</v>
      </c>
      <c r="M43" t="s">
        <v>48</v>
      </c>
      <c r="N43" t="s">
        <v>382</v>
      </c>
      <c r="O43" t="s">
        <v>383</v>
      </c>
    </row>
    <row r="44" spans="1:15" hidden="1" x14ac:dyDescent="0.25">
      <c r="A44" t="s">
        <v>15</v>
      </c>
      <c r="B44" t="s">
        <v>112</v>
      </c>
      <c r="C44" t="s">
        <v>18</v>
      </c>
      <c r="D44" t="s">
        <v>384</v>
      </c>
      <c r="E44" t="s">
        <v>18</v>
      </c>
      <c r="F44" t="s">
        <v>385</v>
      </c>
      <c r="G44" t="s">
        <v>386</v>
      </c>
      <c r="H44" t="s">
        <v>387</v>
      </c>
      <c r="I44" t="s">
        <v>388</v>
      </c>
      <c r="J44" t="s">
        <v>387</v>
      </c>
      <c r="K44" t="s">
        <v>389</v>
      </c>
      <c r="L44" t="s">
        <v>390</v>
      </c>
      <c r="M44" t="s">
        <v>25</v>
      </c>
      <c r="N44" t="s">
        <v>391</v>
      </c>
      <c r="O44" t="s">
        <v>392</v>
      </c>
    </row>
    <row r="45" spans="1:15" hidden="1" x14ac:dyDescent="0.25">
      <c r="A45" t="s">
        <v>15</v>
      </c>
      <c r="B45" t="s">
        <v>112</v>
      </c>
      <c r="C45" t="s">
        <v>18</v>
      </c>
      <c r="D45" t="s">
        <v>393</v>
      </c>
      <c r="E45" t="s">
        <v>18</v>
      </c>
      <c r="F45" t="s">
        <v>394</v>
      </c>
      <c r="G45" t="s">
        <v>395</v>
      </c>
      <c r="H45" t="s">
        <v>396</v>
      </c>
      <c r="I45" t="s">
        <v>397</v>
      </c>
      <c r="J45" t="s">
        <v>396</v>
      </c>
      <c r="K45" t="s">
        <v>398</v>
      </c>
      <c r="L45" t="s">
        <v>399</v>
      </c>
      <c r="M45" t="s">
        <v>25</v>
      </c>
      <c r="N45" t="s">
        <v>400</v>
      </c>
      <c r="O45" t="s">
        <v>401</v>
      </c>
    </row>
    <row r="46" spans="1:15" hidden="1" x14ac:dyDescent="0.25">
      <c r="A46" t="s">
        <v>15</v>
      </c>
      <c r="B46" t="s">
        <v>112</v>
      </c>
      <c r="C46" t="s">
        <v>18</v>
      </c>
      <c r="D46" t="s">
        <v>402</v>
      </c>
      <c r="E46" t="s">
        <v>18</v>
      </c>
      <c r="F46" t="s">
        <v>403</v>
      </c>
      <c r="G46" t="s">
        <v>404</v>
      </c>
      <c r="H46" t="s">
        <v>405</v>
      </c>
      <c r="I46" t="s">
        <v>406</v>
      </c>
      <c r="J46" t="s">
        <v>405</v>
      </c>
      <c r="K46" t="s">
        <v>407</v>
      </c>
      <c r="L46" t="s">
        <v>408</v>
      </c>
      <c r="M46" t="s">
        <v>25</v>
      </c>
      <c r="N46" t="s">
        <v>409</v>
      </c>
      <c r="O46" t="s">
        <v>410</v>
      </c>
    </row>
    <row r="47" spans="1:15" hidden="1" x14ac:dyDescent="0.25">
      <c r="A47" t="s">
        <v>15</v>
      </c>
      <c r="B47" t="s">
        <v>112</v>
      </c>
      <c r="C47" t="s">
        <v>18</v>
      </c>
      <c r="D47" t="s">
        <v>411</v>
      </c>
      <c r="E47" t="s">
        <v>18</v>
      </c>
      <c r="F47" t="s">
        <v>412</v>
      </c>
      <c r="G47" t="s">
        <v>413</v>
      </c>
      <c r="H47" t="s">
        <v>414</v>
      </c>
      <c r="I47" t="s">
        <v>415</v>
      </c>
      <c r="J47" t="s">
        <v>414</v>
      </c>
      <c r="K47" t="s">
        <v>416</v>
      </c>
      <c r="L47" t="s">
        <v>417</v>
      </c>
      <c r="M47" t="s">
        <v>25</v>
      </c>
      <c r="N47" t="s">
        <v>418</v>
      </c>
      <c r="O47" t="s">
        <v>419</v>
      </c>
    </row>
    <row r="48" spans="1:15" hidden="1" x14ac:dyDescent="0.25">
      <c r="A48" t="s">
        <v>15</v>
      </c>
      <c r="B48" t="s">
        <v>112</v>
      </c>
      <c r="C48" t="s">
        <v>18</v>
      </c>
      <c r="D48" t="s">
        <v>420</v>
      </c>
      <c r="E48" t="s">
        <v>18</v>
      </c>
      <c r="F48" t="s">
        <v>421</v>
      </c>
      <c r="G48" t="s">
        <v>422</v>
      </c>
      <c r="H48" t="s">
        <v>423</v>
      </c>
      <c r="I48" t="s">
        <v>424</v>
      </c>
      <c r="J48" t="s">
        <v>423</v>
      </c>
      <c r="K48" t="s">
        <v>425</v>
      </c>
      <c r="L48" t="s">
        <v>426</v>
      </c>
      <c r="M48" t="s">
        <v>25</v>
      </c>
      <c r="N48" t="s">
        <v>427</v>
      </c>
      <c r="O48" t="s">
        <v>428</v>
      </c>
    </row>
    <row r="49" spans="1:15" hidden="1" x14ac:dyDescent="0.25">
      <c r="A49" t="s">
        <v>15</v>
      </c>
      <c r="B49" t="s">
        <v>112</v>
      </c>
      <c r="C49" t="s">
        <v>18</v>
      </c>
      <c r="D49" t="s">
        <v>429</v>
      </c>
      <c r="E49" t="s">
        <v>18</v>
      </c>
      <c r="F49" t="s">
        <v>430</v>
      </c>
      <c r="G49" t="s">
        <v>431</v>
      </c>
      <c r="H49" t="s">
        <v>432</v>
      </c>
      <c r="I49" t="s">
        <v>433</v>
      </c>
      <c r="J49" t="s">
        <v>432</v>
      </c>
      <c r="K49" t="s">
        <v>318</v>
      </c>
      <c r="L49" t="s">
        <v>319</v>
      </c>
      <c r="M49" t="s">
        <v>25</v>
      </c>
      <c r="N49" t="s">
        <v>434</v>
      </c>
      <c r="O49" t="s">
        <v>435</v>
      </c>
    </row>
    <row r="50" spans="1:15" hidden="1" x14ac:dyDescent="0.25">
      <c r="A50" t="s">
        <v>15</v>
      </c>
      <c r="B50" t="s">
        <v>112</v>
      </c>
      <c r="C50" t="s">
        <v>18</v>
      </c>
      <c r="D50" t="s">
        <v>436</v>
      </c>
      <c r="E50" t="s">
        <v>18</v>
      </c>
      <c r="F50" t="s">
        <v>437</v>
      </c>
      <c r="G50" t="s">
        <v>438</v>
      </c>
      <c r="H50" t="s">
        <v>439</v>
      </c>
      <c r="I50" t="s">
        <v>440</v>
      </c>
      <c r="J50" t="s">
        <v>439</v>
      </c>
      <c r="K50" t="s">
        <v>355</v>
      </c>
      <c r="L50" t="s">
        <v>441</v>
      </c>
      <c r="M50" t="s">
        <v>25</v>
      </c>
      <c r="N50" t="s">
        <v>442</v>
      </c>
      <c r="O50" t="s">
        <v>443</v>
      </c>
    </row>
    <row r="51" spans="1:15" hidden="1" x14ac:dyDescent="0.25">
      <c r="A51" t="s">
        <v>15</v>
      </c>
      <c r="B51" t="s">
        <v>112</v>
      </c>
      <c r="C51" t="s">
        <v>18</v>
      </c>
      <c r="D51" t="s">
        <v>444</v>
      </c>
      <c r="E51" t="s">
        <v>18</v>
      </c>
      <c r="F51" t="s">
        <v>437</v>
      </c>
      <c r="G51" t="s">
        <v>445</v>
      </c>
      <c r="H51" t="s">
        <v>446</v>
      </c>
      <c r="I51" t="s">
        <v>447</v>
      </c>
      <c r="J51" t="s">
        <v>446</v>
      </c>
      <c r="K51" t="s">
        <v>448</v>
      </c>
      <c r="L51" t="s">
        <v>449</v>
      </c>
      <c r="M51" t="s">
        <v>25</v>
      </c>
      <c r="N51" t="s">
        <v>450</v>
      </c>
      <c r="O51" t="s">
        <v>451</v>
      </c>
    </row>
    <row r="52" spans="1:15" hidden="1" x14ac:dyDescent="0.25">
      <c r="A52" t="s">
        <v>15</v>
      </c>
      <c r="B52" t="s">
        <v>112</v>
      </c>
      <c r="C52" t="s">
        <v>18</v>
      </c>
      <c r="D52" t="s">
        <v>452</v>
      </c>
      <c r="E52" t="s">
        <v>18</v>
      </c>
      <c r="F52" t="s">
        <v>453</v>
      </c>
      <c r="G52" t="s">
        <v>454</v>
      </c>
      <c r="H52" t="s">
        <v>455</v>
      </c>
      <c r="I52" t="s">
        <v>456</v>
      </c>
      <c r="J52" t="s">
        <v>455</v>
      </c>
      <c r="K52" t="s">
        <v>457</v>
      </c>
      <c r="L52" t="s">
        <v>458</v>
      </c>
      <c r="M52" t="s">
        <v>25</v>
      </c>
      <c r="N52" t="s">
        <v>459</v>
      </c>
      <c r="O52" t="s">
        <v>460</v>
      </c>
    </row>
    <row r="53" spans="1:15" x14ac:dyDescent="0.25">
      <c r="A53" t="s">
        <v>15</v>
      </c>
      <c r="B53" t="s">
        <v>65</v>
      </c>
      <c r="C53" t="s">
        <v>461</v>
      </c>
      <c r="D53" t="s">
        <v>18</v>
      </c>
      <c r="E53" t="s">
        <v>462</v>
      </c>
      <c r="F53" t="s">
        <v>463</v>
      </c>
      <c r="G53" t="s">
        <v>464</v>
      </c>
      <c r="H53" t="s">
        <v>465</v>
      </c>
      <c r="I53" t="s">
        <v>465</v>
      </c>
      <c r="J53" t="s">
        <v>465</v>
      </c>
      <c r="K53" t="s">
        <v>466</v>
      </c>
      <c r="L53" t="s">
        <v>467</v>
      </c>
      <c r="M53" t="s">
        <v>25</v>
      </c>
      <c r="N53" t="s">
        <v>468</v>
      </c>
      <c r="O53" t="s">
        <v>469</v>
      </c>
    </row>
    <row r="54" spans="1:15" x14ac:dyDescent="0.25">
      <c r="A54" t="s">
        <v>15</v>
      </c>
      <c r="B54" t="s">
        <v>65</v>
      </c>
      <c r="C54" t="s">
        <v>191</v>
      </c>
      <c r="D54" t="s">
        <v>18</v>
      </c>
      <c r="E54" t="s">
        <v>470</v>
      </c>
      <c r="F54" t="s">
        <v>471</v>
      </c>
      <c r="G54" t="s">
        <v>472</v>
      </c>
      <c r="H54" t="s">
        <v>473</v>
      </c>
      <c r="I54" t="s">
        <v>473</v>
      </c>
      <c r="J54" t="s">
        <v>474</v>
      </c>
      <c r="K54" t="s">
        <v>475</v>
      </c>
      <c r="L54" t="s">
        <v>476</v>
      </c>
      <c r="M54" t="s">
        <v>48</v>
      </c>
      <c r="N54" t="s">
        <v>477</v>
      </c>
      <c r="O54" t="s">
        <v>478</v>
      </c>
    </row>
    <row r="55" spans="1:15" hidden="1" x14ac:dyDescent="0.25">
      <c r="A55" t="s">
        <v>15</v>
      </c>
      <c r="B55" t="s">
        <v>112</v>
      </c>
      <c r="C55" t="s">
        <v>18</v>
      </c>
      <c r="D55" t="s">
        <v>479</v>
      </c>
      <c r="E55" t="s">
        <v>18</v>
      </c>
      <c r="F55" t="s">
        <v>480</v>
      </c>
      <c r="G55" t="s">
        <v>481</v>
      </c>
      <c r="H55" t="s">
        <v>482</v>
      </c>
      <c r="I55" t="s">
        <v>483</v>
      </c>
      <c r="J55" t="s">
        <v>482</v>
      </c>
      <c r="K55" t="s">
        <v>484</v>
      </c>
      <c r="L55" t="s">
        <v>485</v>
      </c>
      <c r="M55" t="s">
        <v>48</v>
      </c>
      <c r="N55" t="s">
        <v>486</v>
      </c>
      <c r="O55" t="s">
        <v>487</v>
      </c>
    </row>
    <row r="56" spans="1:15" hidden="1" x14ac:dyDescent="0.25">
      <c r="A56" t="s">
        <v>15</v>
      </c>
      <c r="B56" t="s">
        <v>112</v>
      </c>
      <c r="C56" t="s">
        <v>18</v>
      </c>
      <c r="D56" t="s">
        <v>488</v>
      </c>
      <c r="E56" t="s">
        <v>18</v>
      </c>
      <c r="F56" t="s">
        <v>489</v>
      </c>
      <c r="G56" t="s">
        <v>490</v>
      </c>
      <c r="H56" t="s">
        <v>491</v>
      </c>
      <c r="I56" t="s">
        <v>492</v>
      </c>
      <c r="J56" t="s">
        <v>491</v>
      </c>
      <c r="K56" t="s">
        <v>493</v>
      </c>
      <c r="L56" t="s">
        <v>494</v>
      </c>
      <c r="M56" t="s">
        <v>25</v>
      </c>
      <c r="N56" t="s">
        <v>495</v>
      </c>
      <c r="O56" t="s">
        <v>496</v>
      </c>
    </row>
    <row r="57" spans="1:15" hidden="1" x14ac:dyDescent="0.25">
      <c r="A57" t="s">
        <v>15</v>
      </c>
      <c r="B57" t="s">
        <v>112</v>
      </c>
      <c r="C57" t="s">
        <v>18</v>
      </c>
      <c r="D57" t="s">
        <v>497</v>
      </c>
      <c r="E57" t="s">
        <v>18</v>
      </c>
      <c r="F57" t="s">
        <v>498</v>
      </c>
      <c r="G57" t="s">
        <v>499</v>
      </c>
      <c r="H57" t="s">
        <v>500</v>
      </c>
      <c r="I57" t="s">
        <v>501</v>
      </c>
      <c r="J57" t="s">
        <v>500</v>
      </c>
      <c r="K57" t="s">
        <v>502</v>
      </c>
      <c r="L57" t="s">
        <v>503</v>
      </c>
      <c r="M57" t="s">
        <v>25</v>
      </c>
      <c r="N57" t="s">
        <v>504</v>
      </c>
      <c r="O57" t="s">
        <v>505</v>
      </c>
    </row>
    <row r="58" spans="1:15" hidden="1" x14ac:dyDescent="0.25">
      <c r="A58" t="s">
        <v>15</v>
      </c>
      <c r="B58" t="s">
        <v>112</v>
      </c>
      <c r="C58" t="s">
        <v>18</v>
      </c>
      <c r="D58" t="s">
        <v>506</v>
      </c>
      <c r="E58" t="s">
        <v>18</v>
      </c>
      <c r="F58" t="s">
        <v>507</v>
      </c>
      <c r="G58" t="s">
        <v>508</v>
      </c>
      <c r="H58" t="s">
        <v>509</v>
      </c>
      <c r="I58" t="s">
        <v>510</v>
      </c>
      <c r="J58" t="s">
        <v>509</v>
      </c>
      <c r="K58" t="s">
        <v>511</v>
      </c>
      <c r="L58" t="s">
        <v>512</v>
      </c>
      <c r="M58" t="s">
        <v>25</v>
      </c>
      <c r="N58" t="s">
        <v>513</v>
      </c>
      <c r="O58" t="s">
        <v>514</v>
      </c>
    </row>
    <row r="59" spans="1:15" hidden="1" x14ac:dyDescent="0.25">
      <c r="A59" t="s">
        <v>15</v>
      </c>
      <c r="B59" t="s">
        <v>112</v>
      </c>
      <c r="C59" t="s">
        <v>18</v>
      </c>
      <c r="D59" t="s">
        <v>515</v>
      </c>
      <c r="E59" t="s">
        <v>18</v>
      </c>
      <c r="F59" t="s">
        <v>516</v>
      </c>
      <c r="G59" t="s">
        <v>517</v>
      </c>
      <c r="H59" t="s">
        <v>518</v>
      </c>
      <c r="I59" t="s">
        <v>519</v>
      </c>
      <c r="J59" t="s">
        <v>518</v>
      </c>
      <c r="K59" t="s">
        <v>520</v>
      </c>
      <c r="L59" t="s">
        <v>521</v>
      </c>
      <c r="M59" t="s">
        <v>25</v>
      </c>
      <c r="N59" t="s">
        <v>522</v>
      </c>
      <c r="O59" t="s">
        <v>523</v>
      </c>
    </row>
    <row r="60" spans="1:15" hidden="1" x14ac:dyDescent="0.25">
      <c r="A60" t="s">
        <v>15</v>
      </c>
      <c r="B60" t="s">
        <v>112</v>
      </c>
      <c r="C60" t="s">
        <v>18</v>
      </c>
      <c r="D60" t="s">
        <v>524</v>
      </c>
      <c r="E60" t="s">
        <v>18</v>
      </c>
      <c r="F60" t="s">
        <v>525</v>
      </c>
      <c r="G60" t="s">
        <v>526</v>
      </c>
      <c r="H60" t="s">
        <v>527</v>
      </c>
      <c r="I60" t="s">
        <v>528</v>
      </c>
      <c r="J60" t="s">
        <v>527</v>
      </c>
      <c r="K60" t="s">
        <v>529</v>
      </c>
      <c r="L60" t="s">
        <v>530</v>
      </c>
      <c r="M60" t="s">
        <v>25</v>
      </c>
      <c r="N60" t="s">
        <v>531</v>
      </c>
      <c r="O60" t="s">
        <v>532</v>
      </c>
    </row>
    <row r="61" spans="1:15" x14ac:dyDescent="0.25">
      <c r="A61" t="s">
        <v>15</v>
      </c>
      <c r="B61" t="s">
        <v>65</v>
      </c>
      <c r="C61" t="s">
        <v>533</v>
      </c>
      <c r="D61" t="s">
        <v>18</v>
      </c>
      <c r="E61" t="s">
        <v>534</v>
      </c>
      <c r="F61" t="s">
        <v>535</v>
      </c>
      <c r="G61" t="s">
        <v>536</v>
      </c>
      <c r="H61" t="s">
        <v>537</v>
      </c>
      <c r="I61" t="s">
        <v>537</v>
      </c>
      <c r="J61" t="s">
        <v>537</v>
      </c>
      <c r="K61" t="s">
        <v>538</v>
      </c>
      <c r="L61" t="s">
        <v>539</v>
      </c>
      <c r="M61" t="s">
        <v>25</v>
      </c>
      <c r="N61" t="s">
        <v>540</v>
      </c>
      <c r="O61" t="s">
        <v>541</v>
      </c>
    </row>
    <row r="62" spans="1:15" x14ac:dyDescent="0.25">
      <c r="A62" t="s">
        <v>15</v>
      </c>
      <c r="B62" t="s">
        <v>65</v>
      </c>
      <c r="C62" t="s">
        <v>533</v>
      </c>
      <c r="D62" t="s">
        <v>18</v>
      </c>
      <c r="E62" t="s">
        <v>542</v>
      </c>
      <c r="F62" t="s">
        <v>543</v>
      </c>
      <c r="G62" t="s">
        <v>544</v>
      </c>
      <c r="H62" t="s">
        <v>545</v>
      </c>
      <c r="I62" t="s">
        <v>545</v>
      </c>
      <c r="J62" t="s">
        <v>545</v>
      </c>
      <c r="K62" t="s">
        <v>546</v>
      </c>
      <c r="L62" t="s">
        <v>547</v>
      </c>
      <c r="M62" t="s">
        <v>25</v>
      </c>
      <c r="N62" t="s">
        <v>548</v>
      </c>
      <c r="O62" t="s">
        <v>549</v>
      </c>
    </row>
    <row r="63" spans="1:15" x14ac:dyDescent="0.25">
      <c r="A63" t="s">
        <v>15</v>
      </c>
      <c r="B63" t="s">
        <v>65</v>
      </c>
      <c r="C63" t="s">
        <v>550</v>
      </c>
      <c r="D63" t="s">
        <v>18</v>
      </c>
      <c r="E63" t="s">
        <v>551</v>
      </c>
      <c r="F63" t="s">
        <v>552</v>
      </c>
      <c r="G63" t="s">
        <v>553</v>
      </c>
      <c r="H63" t="s">
        <v>554</v>
      </c>
      <c r="I63" t="s">
        <v>554</v>
      </c>
      <c r="J63" t="s">
        <v>554</v>
      </c>
      <c r="K63" t="s">
        <v>555</v>
      </c>
      <c r="L63" t="s">
        <v>556</v>
      </c>
      <c r="M63" t="s">
        <v>48</v>
      </c>
      <c r="N63" t="s">
        <v>557</v>
      </c>
      <c r="O63" t="s">
        <v>558</v>
      </c>
    </row>
    <row r="64" spans="1:15" x14ac:dyDescent="0.25">
      <c r="A64" t="s">
        <v>15</v>
      </c>
      <c r="B64" t="s">
        <v>65</v>
      </c>
      <c r="C64" t="s">
        <v>559</v>
      </c>
      <c r="D64" t="s">
        <v>18</v>
      </c>
      <c r="E64" t="s">
        <v>560</v>
      </c>
      <c r="F64" t="s">
        <v>561</v>
      </c>
      <c r="G64" t="s">
        <v>562</v>
      </c>
      <c r="H64" t="s">
        <v>563</v>
      </c>
      <c r="I64" t="s">
        <v>563</v>
      </c>
      <c r="J64" t="s">
        <v>563</v>
      </c>
      <c r="K64" t="s">
        <v>564</v>
      </c>
      <c r="L64" t="s">
        <v>565</v>
      </c>
      <c r="M64" t="s">
        <v>48</v>
      </c>
      <c r="N64" t="s">
        <v>566</v>
      </c>
      <c r="O64" t="s">
        <v>567</v>
      </c>
    </row>
    <row r="65" spans="1:15" hidden="1" x14ac:dyDescent="0.25">
      <c r="A65" t="s">
        <v>15</v>
      </c>
      <c r="B65" t="s">
        <v>16</v>
      </c>
      <c r="C65" t="s">
        <v>568</v>
      </c>
      <c r="D65" t="s">
        <v>18</v>
      </c>
      <c r="E65" t="s">
        <v>18</v>
      </c>
      <c r="F65" t="s">
        <v>569</v>
      </c>
      <c r="G65" t="s">
        <v>570</v>
      </c>
      <c r="H65" t="s">
        <v>571</v>
      </c>
      <c r="I65" t="s">
        <v>572</v>
      </c>
      <c r="J65" t="s">
        <v>572</v>
      </c>
      <c r="K65" t="s">
        <v>573</v>
      </c>
      <c r="L65" t="s">
        <v>574</v>
      </c>
      <c r="M65" t="s">
        <v>25</v>
      </c>
      <c r="N65" t="s">
        <v>575</v>
      </c>
      <c r="O65" t="s">
        <v>576</v>
      </c>
    </row>
    <row r="66" spans="1:15" hidden="1" x14ac:dyDescent="0.25">
      <c r="A66" t="s">
        <v>15</v>
      </c>
      <c r="B66" t="s">
        <v>16</v>
      </c>
      <c r="C66" t="s">
        <v>577</v>
      </c>
      <c r="D66" t="s">
        <v>18</v>
      </c>
      <c r="E66" t="s">
        <v>18</v>
      </c>
      <c r="F66" t="s">
        <v>578</v>
      </c>
      <c r="G66" t="s">
        <v>579</v>
      </c>
      <c r="H66" t="s">
        <v>580</v>
      </c>
      <c r="I66" t="s">
        <v>581</v>
      </c>
      <c r="J66" t="s">
        <v>581</v>
      </c>
      <c r="K66" t="s">
        <v>582</v>
      </c>
      <c r="L66" t="s">
        <v>583</v>
      </c>
      <c r="M66" t="s">
        <v>25</v>
      </c>
      <c r="N66" t="s">
        <v>584</v>
      </c>
      <c r="O66" t="s">
        <v>585</v>
      </c>
    </row>
    <row r="67" spans="1:15" hidden="1" x14ac:dyDescent="0.25">
      <c r="A67" t="s">
        <v>15</v>
      </c>
      <c r="B67" t="s">
        <v>112</v>
      </c>
      <c r="C67" t="s">
        <v>18</v>
      </c>
      <c r="D67" t="s">
        <v>586</v>
      </c>
      <c r="E67" t="s">
        <v>18</v>
      </c>
      <c r="F67" t="s">
        <v>587</v>
      </c>
      <c r="G67" t="s">
        <v>588</v>
      </c>
      <c r="H67" t="s">
        <v>589</v>
      </c>
      <c r="I67" t="s">
        <v>590</v>
      </c>
      <c r="J67" t="s">
        <v>589</v>
      </c>
      <c r="K67" t="s">
        <v>591</v>
      </c>
      <c r="L67" t="s">
        <v>592</v>
      </c>
      <c r="M67" t="s">
        <v>48</v>
      </c>
      <c r="N67" t="s">
        <v>593</v>
      </c>
      <c r="O67" t="s">
        <v>594</v>
      </c>
    </row>
    <row r="68" spans="1:15" hidden="1" x14ac:dyDescent="0.25">
      <c r="A68" t="s">
        <v>15</v>
      </c>
      <c r="B68" t="s">
        <v>112</v>
      </c>
      <c r="C68" t="s">
        <v>18</v>
      </c>
      <c r="D68" t="s">
        <v>595</v>
      </c>
      <c r="E68" t="s">
        <v>18</v>
      </c>
      <c r="F68" t="s">
        <v>596</v>
      </c>
      <c r="G68" t="s">
        <v>597</v>
      </c>
      <c r="H68" t="s">
        <v>598</v>
      </c>
      <c r="I68" t="s">
        <v>599</v>
      </c>
      <c r="J68" t="s">
        <v>598</v>
      </c>
      <c r="K68" t="s">
        <v>24</v>
      </c>
      <c r="L68" t="s">
        <v>24</v>
      </c>
      <c r="M68" t="s">
        <v>25</v>
      </c>
      <c r="N68" t="s">
        <v>600</v>
      </c>
      <c r="O68" t="s">
        <v>601</v>
      </c>
    </row>
    <row r="69" spans="1:15" hidden="1" x14ac:dyDescent="0.25">
      <c r="A69" t="s">
        <v>15</v>
      </c>
      <c r="B69" t="s">
        <v>112</v>
      </c>
      <c r="C69" t="s">
        <v>18</v>
      </c>
      <c r="D69" t="s">
        <v>602</v>
      </c>
      <c r="E69" t="s">
        <v>18</v>
      </c>
      <c r="F69" t="s">
        <v>603</v>
      </c>
      <c r="G69" t="s">
        <v>604</v>
      </c>
      <c r="H69" t="s">
        <v>605</v>
      </c>
      <c r="I69" t="s">
        <v>606</v>
      </c>
      <c r="J69" t="s">
        <v>605</v>
      </c>
      <c r="K69" t="s">
        <v>24</v>
      </c>
      <c r="L69" t="s">
        <v>24</v>
      </c>
      <c r="M69" t="s">
        <v>25</v>
      </c>
      <c r="N69" t="s">
        <v>607</v>
      </c>
      <c r="O69" t="s">
        <v>608</v>
      </c>
    </row>
    <row r="70" spans="1:15" x14ac:dyDescent="0.25">
      <c r="A70" t="s">
        <v>15</v>
      </c>
      <c r="B70" t="s">
        <v>65</v>
      </c>
      <c r="C70" t="s">
        <v>227</v>
      </c>
      <c r="D70" t="s">
        <v>18</v>
      </c>
      <c r="E70" t="s">
        <v>609</v>
      </c>
      <c r="F70" t="s">
        <v>610</v>
      </c>
      <c r="G70" t="s">
        <v>611</v>
      </c>
      <c r="H70" t="s">
        <v>612</v>
      </c>
      <c r="I70" t="s">
        <v>612</v>
      </c>
      <c r="J70" t="s">
        <v>612</v>
      </c>
      <c r="K70" t="s">
        <v>613</v>
      </c>
      <c r="L70" t="s">
        <v>614</v>
      </c>
      <c r="M70" t="s">
        <v>25</v>
      </c>
      <c r="N70" t="s">
        <v>615</v>
      </c>
      <c r="O70" t="s">
        <v>616</v>
      </c>
    </row>
    <row r="71" spans="1:15" x14ac:dyDescent="0.25">
      <c r="A71" t="s">
        <v>15</v>
      </c>
      <c r="B71" t="s">
        <v>65</v>
      </c>
      <c r="C71" t="s">
        <v>139</v>
      </c>
      <c r="D71" t="s">
        <v>18</v>
      </c>
      <c r="E71" t="s">
        <v>617</v>
      </c>
      <c r="F71" t="s">
        <v>618</v>
      </c>
      <c r="G71" t="s">
        <v>619</v>
      </c>
      <c r="H71" t="s">
        <v>620</v>
      </c>
      <c r="I71" t="s">
        <v>620</v>
      </c>
      <c r="J71" t="s">
        <v>620</v>
      </c>
      <c r="K71" t="s">
        <v>621</v>
      </c>
      <c r="L71" t="s">
        <v>622</v>
      </c>
      <c r="M71" t="s">
        <v>25</v>
      </c>
      <c r="N71" t="s">
        <v>623</v>
      </c>
      <c r="O71" t="s">
        <v>624</v>
      </c>
    </row>
    <row r="72" spans="1:15" x14ac:dyDescent="0.25">
      <c r="A72" t="s">
        <v>15</v>
      </c>
      <c r="B72" t="s">
        <v>65</v>
      </c>
      <c r="C72" t="s">
        <v>625</v>
      </c>
      <c r="D72" t="s">
        <v>18</v>
      </c>
      <c r="E72" t="s">
        <v>626</v>
      </c>
      <c r="F72" t="s">
        <v>627</v>
      </c>
      <c r="G72" t="s">
        <v>628</v>
      </c>
      <c r="H72" t="s">
        <v>629</v>
      </c>
      <c r="I72" t="s">
        <v>629</v>
      </c>
      <c r="J72" t="s">
        <v>629</v>
      </c>
      <c r="K72" t="s">
        <v>630</v>
      </c>
      <c r="L72" t="s">
        <v>631</v>
      </c>
      <c r="M72" t="s">
        <v>48</v>
      </c>
      <c r="N72" t="s">
        <v>632</v>
      </c>
      <c r="O72" t="s">
        <v>633</v>
      </c>
    </row>
    <row r="73" spans="1:15" x14ac:dyDescent="0.25">
      <c r="A73" t="s">
        <v>15</v>
      </c>
      <c r="B73" t="s">
        <v>65</v>
      </c>
      <c r="C73" t="s">
        <v>634</v>
      </c>
      <c r="D73" t="s">
        <v>18</v>
      </c>
      <c r="E73" t="s">
        <v>635</v>
      </c>
      <c r="F73" t="s">
        <v>636</v>
      </c>
      <c r="G73" t="s">
        <v>637</v>
      </c>
      <c r="H73" t="s">
        <v>638</v>
      </c>
      <c r="I73" t="s">
        <v>638</v>
      </c>
      <c r="J73" t="s">
        <v>638</v>
      </c>
      <c r="K73" t="s">
        <v>639</v>
      </c>
      <c r="L73" t="s">
        <v>640</v>
      </c>
      <c r="M73" t="s">
        <v>48</v>
      </c>
      <c r="N73" t="s">
        <v>641</v>
      </c>
      <c r="O73" t="s">
        <v>642</v>
      </c>
    </row>
    <row r="74" spans="1:15" hidden="1" x14ac:dyDescent="0.25">
      <c r="A74" t="s">
        <v>15</v>
      </c>
      <c r="B74" t="s">
        <v>112</v>
      </c>
      <c r="C74" t="s">
        <v>18</v>
      </c>
      <c r="D74" t="s">
        <v>643</v>
      </c>
      <c r="E74" t="s">
        <v>18</v>
      </c>
      <c r="F74" t="s">
        <v>644</v>
      </c>
      <c r="G74" t="s">
        <v>645</v>
      </c>
      <c r="H74" t="s">
        <v>646</v>
      </c>
      <c r="I74" t="s">
        <v>647</v>
      </c>
      <c r="J74" t="s">
        <v>646</v>
      </c>
      <c r="K74" t="s">
        <v>318</v>
      </c>
      <c r="L74" t="s">
        <v>319</v>
      </c>
      <c r="M74" t="s">
        <v>25</v>
      </c>
      <c r="N74" t="s">
        <v>648</v>
      </c>
      <c r="O74" t="s">
        <v>649</v>
      </c>
    </row>
    <row r="75" spans="1:15" x14ac:dyDescent="0.25">
      <c r="A75" t="s">
        <v>15</v>
      </c>
      <c r="B75" t="s">
        <v>65</v>
      </c>
      <c r="C75" t="s">
        <v>533</v>
      </c>
      <c r="D75" t="s">
        <v>18</v>
      </c>
      <c r="E75" t="s">
        <v>650</v>
      </c>
      <c r="F75" t="s">
        <v>651</v>
      </c>
      <c r="G75" t="s">
        <v>652</v>
      </c>
      <c r="H75" t="s">
        <v>653</v>
      </c>
      <c r="I75" t="s">
        <v>653</v>
      </c>
      <c r="J75" t="s">
        <v>653</v>
      </c>
      <c r="K75" t="s">
        <v>654</v>
      </c>
      <c r="L75" t="s">
        <v>655</v>
      </c>
      <c r="M75" t="s">
        <v>25</v>
      </c>
      <c r="N75" t="s">
        <v>656</v>
      </c>
      <c r="O75" t="s">
        <v>657</v>
      </c>
    </row>
    <row r="76" spans="1:15" hidden="1" x14ac:dyDescent="0.25">
      <c r="A76" t="s">
        <v>15</v>
      </c>
      <c r="B76" t="s">
        <v>112</v>
      </c>
      <c r="C76" t="s">
        <v>18</v>
      </c>
      <c r="D76" t="s">
        <v>658</v>
      </c>
      <c r="E76" t="s">
        <v>18</v>
      </c>
      <c r="F76" t="s">
        <v>659</v>
      </c>
      <c r="G76" t="s">
        <v>660</v>
      </c>
      <c r="H76" t="s">
        <v>661</v>
      </c>
      <c r="I76" t="s">
        <v>662</v>
      </c>
      <c r="J76" t="s">
        <v>661</v>
      </c>
      <c r="K76" t="s">
        <v>663</v>
      </c>
      <c r="L76" t="s">
        <v>664</v>
      </c>
      <c r="M76" t="s">
        <v>48</v>
      </c>
      <c r="N76" t="s">
        <v>665</v>
      </c>
      <c r="O76" t="s">
        <v>666</v>
      </c>
    </row>
    <row r="77" spans="1:15" hidden="1" x14ac:dyDescent="0.25">
      <c r="A77" t="s">
        <v>15</v>
      </c>
      <c r="B77" t="s">
        <v>112</v>
      </c>
      <c r="C77" t="s">
        <v>18</v>
      </c>
      <c r="D77" t="s">
        <v>667</v>
      </c>
      <c r="E77" t="s">
        <v>18</v>
      </c>
      <c r="F77" t="s">
        <v>668</v>
      </c>
      <c r="G77" t="s">
        <v>669</v>
      </c>
      <c r="H77" t="s">
        <v>670</v>
      </c>
      <c r="I77" t="s">
        <v>671</v>
      </c>
      <c r="J77" t="s">
        <v>670</v>
      </c>
      <c r="K77" t="s">
        <v>672</v>
      </c>
      <c r="L77" t="s">
        <v>673</v>
      </c>
      <c r="M77" t="s">
        <v>48</v>
      </c>
      <c r="N77" t="s">
        <v>674</v>
      </c>
      <c r="O77" t="s">
        <v>675</v>
      </c>
    </row>
    <row r="78" spans="1:15" x14ac:dyDescent="0.25">
      <c r="A78" t="s">
        <v>15</v>
      </c>
      <c r="B78" t="s">
        <v>65</v>
      </c>
      <c r="C78" t="s">
        <v>676</v>
      </c>
      <c r="D78" t="s">
        <v>18</v>
      </c>
      <c r="E78" t="s">
        <v>677</v>
      </c>
      <c r="F78" t="s">
        <v>678</v>
      </c>
      <c r="G78" t="s">
        <v>679</v>
      </c>
      <c r="H78" t="s">
        <v>680</v>
      </c>
      <c r="I78" t="s">
        <v>680</v>
      </c>
      <c r="J78" t="s">
        <v>680</v>
      </c>
      <c r="K78" t="s">
        <v>681</v>
      </c>
      <c r="L78" t="s">
        <v>24</v>
      </c>
      <c r="M78" t="s">
        <v>48</v>
      </c>
      <c r="N78" t="s">
        <v>682</v>
      </c>
      <c r="O78" t="s">
        <v>683</v>
      </c>
    </row>
    <row r="79" spans="1:15" hidden="1" x14ac:dyDescent="0.25">
      <c r="A79" t="s">
        <v>15</v>
      </c>
      <c r="B79" t="s">
        <v>112</v>
      </c>
      <c r="C79" t="s">
        <v>18</v>
      </c>
      <c r="D79" t="s">
        <v>684</v>
      </c>
      <c r="E79" t="s">
        <v>18</v>
      </c>
      <c r="F79" t="s">
        <v>685</v>
      </c>
      <c r="G79" t="s">
        <v>686</v>
      </c>
      <c r="H79" t="s">
        <v>687</v>
      </c>
      <c r="I79" t="s">
        <v>688</v>
      </c>
      <c r="J79" t="s">
        <v>687</v>
      </c>
      <c r="K79" t="s">
        <v>689</v>
      </c>
      <c r="L79" t="s">
        <v>690</v>
      </c>
      <c r="M79" t="s">
        <v>48</v>
      </c>
      <c r="N79" t="s">
        <v>691</v>
      </c>
      <c r="O79" t="s">
        <v>692</v>
      </c>
    </row>
    <row r="80" spans="1:15" x14ac:dyDescent="0.25">
      <c r="A80" t="s">
        <v>15</v>
      </c>
      <c r="B80" t="s">
        <v>65</v>
      </c>
      <c r="C80" t="s">
        <v>227</v>
      </c>
      <c r="D80" t="s">
        <v>18</v>
      </c>
      <c r="E80" t="s">
        <v>693</v>
      </c>
      <c r="F80" t="s">
        <v>694</v>
      </c>
      <c r="G80" t="s">
        <v>695</v>
      </c>
      <c r="H80" t="s">
        <v>696</v>
      </c>
      <c r="I80" t="s">
        <v>696</v>
      </c>
      <c r="J80" t="s">
        <v>696</v>
      </c>
      <c r="K80" t="s">
        <v>697</v>
      </c>
      <c r="L80" t="s">
        <v>698</v>
      </c>
      <c r="M80" t="s">
        <v>25</v>
      </c>
      <c r="N80" t="s">
        <v>699</v>
      </c>
      <c r="O80" t="s">
        <v>700</v>
      </c>
    </row>
    <row r="81" spans="1:15" x14ac:dyDescent="0.25">
      <c r="A81" t="s">
        <v>15</v>
      </c>
      <c r="B81" t="s">
        <v>65</v>
      </c>
      <c r="C81" t="s">
        <v>139</v>
      </c>
      <c r="D81" t="s">
        <v>18</v>
      </c>
      <c r="E81" t="s">
        <v>701</v>
      </c>
      <c r="F81" t="s">
        <v>702</v>
      </c>
      <c r="G81" t="s">
        <v>703</v>
      </c>
      <c r="H81" t="s">
        <v>704</v>
      </c>
      <c r="I81" t="s">
        <v>704</v>
      </c>
      <c r="J81" t="s">
        <v>704</v>
      </c>
      <c r="K81" t="s">
        <v>705</v>
      </c>
      <c r="L81" t="s">
        <v>706</v>
      </c>
      <c r="M81" t="s">
        <v>25</v>
      </c>
      <c r="N81" t="s">
        <v>707</v>
      </c>
      <c r="O81" t="s">
        <v>708</v>
      </c>
    </row>
    <row r="82" spans="1:15" x14ac:dyDescent="0.25">
      <c r="A82" t="s">
        <v>15</v>
      </c>
      <c r="B82" t="s">
        <v>65</v>
      </c>
      <c r="C82" t="s">
        <v>709</v>
      </c>
      <c r="D82" t="s">
        <v>18</v>
      </c>
      <c r="E82" t="s">
        <v>710</v>
      </c>
      <c r="F82" t="s">
        <v>711</v>
      </c>
      <c r="G82" t="s">
        <v>712</v>
      </c>
      <c r="H82" t="s">
        <v>713</v>
      </c>
      <c r="I82" t="s">
        <v>713</v>
      </c>
      <c r="J82" t="s">
        <v>713</v>
      </c>
      <c r="K82" t="s">
        <v>714</v>
      </c>
      <c r="L82" t="s">
        <v>715</v>
      </c>
      <c r="M82" t="s">
        <v>25</v>
      </c>
      <c r="N82" t="s">
        <v>716</v>
      </c>
      <c r="O82" t="s">
        <v>717</v>
      </c>
    </row>
    <row r="83" spans="1:15" hidden="1" x14ac:dyDescent="0.25">
      <c r="A83" t="s">
        <v>15</v>
      </c>
      <c r="B83" t="s">
        <v>112</v>
      </c>
      <c r="C83" t="s">
        <v>18</v>
      </c>
      <c r="D83" t="s">
        <v>718</v>
      </c>
      <c r="E83" t="s">
        <v>18</v>
      </c>
      <c r="F83" t="s">
        <v>719</v>
      </c>
      <c r="G83" t="s">
        <v>720</v>
      </c>
      <c r="H83" t="s">
        <v>721</v>
      </c>
      <c r="I83" t="s">
        <v>722</v>
      </c>
      <c r="J83" t="s">
        <v>721</v>
      </c>
      <c r="K83" t="s">
        <v>723</v>
      </c>
      <c r="L83" t="s">
        <v>724</v>
      </c>
      <c r="M83" t="s">
        <v>48</v>
      </c>
      <c r="N83" t="s">
        <v>725</v>
      </c>
      <c r="O83" t="s">
        <v>726</v>
      </c>
    </row>
    <row r="84" spans="1:15" hidden="1" x14ac:dyDescent="0.25">
      <c r="A84" t="s">
        <v>15</v>
      </c>
      <c r="B84" t="s">
        <v>112</v>
      </c>
      <c r="C84" t="s">
        <v>18</v>
      </c>
      <c r="D84" t="s">
        <v>727</v>
      </c>
      <c r="E84" t="s">
        <v>18</v>
      </c>
      <c r="F84" t="s">
        <v>728</v>
      </c>
      <c r="G84" t="s">
        <v>729</v>
      </c>
      <c r="H84" t="s">
        <v>730</v>
      </c>
      <c r="I84" t="s">
        <v>731</v>
      </c>
      <c r="J84" t="s">
        <v>730</v>
      </c>
      <c r="K84" t="s">
        <v>732</v>
      </c>
      <c r="L84" t="s">
        <v>733</v>
      </c>
      <c r="M84" t="s">
        <v>25</v>
      </c>
      <c r="N84" t="s">
        <v>734</v>
      </c>
      <c r="O84" t="s">
        <v>735</v>
      </c>
    </row>
    <row r="85" spans="1:15" hidden="1" x14ac:dyDescent="0.25">
      <c r="A85" t="s">
        <v>15</v>
      </c>
      <c r="B85" t="s">
        <v>28</v>
      </c>
      <c r="C85" t="s">
        <v>736</v>
      </c>
      <c r="D85" t="s">
        <v>18</v>
      </c>
      <c r="E85" t="s">
        <v>18</v>
      </c>
      <c r="F85" t="s">
        <v>737</v>
      </c>
      <c r="G85" t="s">
        <v>738</v>
      </c>
      <c r="H85" t="s">
        <v>739</v>
      </c>
      <c r="I85" t="s">
        <v>740</v>
      </c>
      <c r="J85" t="s">
        <v>740</v>
      </c>
      <c r="K85" t="s">
        <v>62</v>
      </c>
      <c r="L85" t="s">
        <v>24</v>
      </c>
      <c r="M85" t="s">
        <v>48</v>
      </c>
      <c r="N85" t="s">
        <v>741</v>
      </c>
      <c r="O85" t="s">
        <v>742</v>
      </c>
    </row>
    <row r="86" spans="1:15" hidden="1" x14ac:dyDescent="0.25">
      <c r="A86" t="s">
        <v>743</v>
      </c>
      <c r="B86" t="s">
        <v>28</v>
      </c>
      <c r="C86" t="s">
        <v>744</v>
      </c>
      <c r="D86" t="s">
        <v>18</v>
      </c>
      <c r="E86" t="s">
        <v>18</v>
      </c>
      <c r="F86" t="s">
        <v>745</v>
      </c>
      <c r="G86" t="s">
        <v>746</v>
      </c>
      <c r="H86" t="s">
        <v>747</v>
      </c>
      <c r="I86" t="s">
        <v>748</v>
      </c>
      <c r="J86" t="s">
        <v>748</v>
      </c>
      <c r="K86" t="s">
        <v>749</v>
      </c>
      <c r="L86" t="s">
        <v>24</v>
      </c>
      <c r="M86" t="s">
        <v>48</v>
      </c>
      <c r="N86" t="s">
        <v>750</v>
      </c>
      <c r="O86" t="s">
        <v>751</v>
      </c>
    </row>
    <row r="87" spans="1:15" hidden="1" x14ac:dyDescent="0.25">
      <c r="A87" t="s">
        <v>15</v>
      </c>
      <c r="B87" t="s">
        <v>28</v>
      </c>
      <c r="C87" t="s">
        <v>752</v>
      </c>
      <c r="D87" t="s">
        <v>18</v>
      </c>
      <c r="E87" t="s">
        <v>18</v>
      </c>
      <c r="F87" t="s">
        <v>753</v>
      </c>
      <c r="G87" t="s">
        <v>754</v>
      </c>
      <c r="H87" t="s">
        <v>755</v>
      </c>
      <c r="I87" t="s">
        <v>756</v>
      </c>
      <c r="J87" t="s">
        <v>756</v>
      </c>
      <c r="K87" t="s">
        <v>757</v>
      </c>
      <c r="L87" t="s">
        <v>24</v>
      </c>
      <c r="M87" t="s">
        <v>25</v>
      </c>
      <c r="N87" t="s">
        <v>758</v>
      </c>
      <c r="O87" t="s">
        <v>759</v>
      </c>
    </row>
    <row r="88" spans="1:15" hidden="1" x14ac:dyDescent="0.25">
      <c r="A88" t="s">
        <v>15</v>
      </c>
      <c r="B88" t="s">
        <v>28</v>
      </c>
      <c r="C88" t="s">
        <v>752</v>
      </c>
      <c r="D88" t="s">
        <v>18</v>
      </c>
      <c r="E88" t="s">
        <v>18</v>
      </c>
      <c r="F88" t="s">
        <v>760</v>
      </c>
      <c r="G88" t="s">
        <v>761</v>
      </c>
      <c r="H88" t="s">
        <v>762</v>
      </c>
      <c r="I88" t="s">
        <v>763</v>
      </c>
      <c r="J88" t="s">
        <v>763</v>
      </c>
      <c r="K88" t="s">
        <v>764</v>
      </c>
      <c r="L88" t="s">
        <v>24</v>
      </c>
      <c r="M88" t="s">
        <v>25</v>
      </c>
      <c r="N88" t="s">
        <v>765</v>
      </c>
      <c r="O88" t="s">
        <v>766</v>
      </c>
    </row>
    <row r="89" spans="1:15" x14ac:dyDescent="0.25">
      <c r="A89" t="s">
        <v>15</v>
      </c>
      <c r="B89" t="s">
        <v>65</v>
      </c>
      <c r="C89" t="s">
        <v>676</v>
      </c>
      <c r="D89" t="s">
        <v>18</v>
      </c>
      <c r="E89" t="s">
        <v>767</v>
      </c>
      <c r="F89" t="s">
        <v>768</v>
      </c>
      <c r="G89" t="s">
        <v>769</v>
      </c>
      <c r="H89" t="s">
        <v>770</v>
      </c>
      <c r="I89" t="s">
        <v>770</v>
      </c>
      <c r="J89" t="s">
        <v>770</v>
      </c>
      <c r="K89" t="s">
        <v>771</v>
      </c>
      <c r="L89" t="s">
        <v>24</v>
      </c>
      <c r="M89" t="s">
        <v>48</v>
      </c>
      <c r="N89" t="s">
        <v>772</v>
      </c>
      <c r="O89" t="s">
        <v>773</v>
      </c>
    </row>
    <row r="90" spans="1:15" hidden="1" x14ac:dyDescent="0.25">
      <c r="A90" t="s">
        <v>774</v>
      </c>
      <c r="B90" t="s">
        <v>16</v>
      </c>
      <c r="C90" t="s">
        <v>775</v>
      </c>
      <c r="D90" t="s">
        <v>18</v>
      </c>
      <c r="E90" t="s">
        <v>18</v>
      </c>
      <c r="F90" t="s">
        <v>776</v>
      </c>
      <c r="G90" t="s">
        <v>777</v>
      </c>
      <c r="H90" t="s">
        <v>778</v>
      </c>
      <c r="I90" t="s">
        <v>779</v>
      </c>
      <c r="J90" t="s">
        <v>779</v>
      </c>
      <c r="K90" t="s">
        <v>780</v>
      </c>
      <c r="L90" t="s">
        <v>24</v>
      </c>
      <c r="M90" t="s">
        <v>25</v>
      </c>
      <c r="O90" t="s">
        <v>781</v>
      </c>
    </row>
    <row r="91" spans="1:15" hidden="1" x14ac:dyDescent="0.25">
      <c r="A91" t="s">
        <v>774</v>
      </c>
      <c r="B91" t="s">
        <v>16</v>
      </c>
      <c r="C91" t="s">
        <v>775</v>
      </c>
      <c r="D91" t="s">
        <v>18</v>
      </c>
      <c r="E91" t="s">
        <v>18</v>
      </c>
      <c r="F91" t="s">
        <v>782</v>
      </c>
      <c r="G91" t="s">
        <v>777</v>
      </c>
      <c r="H91" t="s">
        <v>783</v>
      </c>
      <c r="I91" t="s">
        <v>784</v>
      </c>
      <c r="J91" t="s">
        <v>784</v>
      </c>
      <c r="K91" t="s">
        <v>785</v>
      </c>
      <c r="L91" t="s">
        <v>24</v>
      </c>
      <c r="M91" t="s">
        <v>25</v>
      </c>
      <c r="O91" t="s">
        <v>786</v>
      </c>
    </row>
    <row r="92" spans="1:15" hidden="1" x14ac:dyDescent="0.25">
      <c r="A92" t="s">
        <v>774</v>
      </c>
      <c r="B92" t="s">
        <v>16</v>
      </c>
      <c r="C92" t="s">
        <v>787</v>
      </c>
      <c r="D92" t="s">
        <v>18</v>
      </c>
      <c r="E92" t="s">
        <v>18</v>
      </c>
      <c r="F92" t="s">
        <v>788</v>
      </c>
      <c r="G92" t="s">
        <v>789</v>
      </c>
      <c r="H92" t="s">
        <v>790</v>
      </c>
      <c r="I92" t="s">
        <v>791</v>
      </c>
      <c r="J92" t="s">
        <v>791</v>
      </c>
      <c r="K92" t="s">
        <v>792</v>
      </c>
      <c r="L92" t="s">
        <v>24</v>
      </c>
      <c r="M92" t="s">
        <v>25</v>
      </c>
      <c r="O92" t="s">
        <v>793</v>
      </c>
    </row>
    <row r="93" spans="1:15" hidden="1" x14ac:dyDescent="0.25">
      <c r="A93" t="s">
        <v>15</v>
      </c>
      <c r="B93" t="s">
        <v>28</v>
      </c>
      <c r="C93" t="s">
        <v>794</v>
      </c>
      <c r="D93" t="s">
        <v>18</v>
      </c>
      <c r="E93" t="s">
        <v>18</v>
      </c>
      <c r="F93" t="s">
        <v>795</v>
      </c>
      <c r="G93" t="s">
        <v>796</v>
      </c>
      <c r="H93" t="s">
        <v>797</v>
      </c>
      <c r="I93" t="s">
        <v>798</v>
      </c>
      <c r="J93" t="s">
        <v>798</v>
      </c>
      <c r="K93" t="s">
        <v>799</v>
      </c>
      <c r="L93" t="s">
        <v>800</v>
      </c>
      <c r="M93" t="s">
        <v>25</v>
      </c>
      <c r="N93" t="s">
        <v>801</v>
      </c>
      <c r="O93" t="s">
        <v>802</v>
      </c>
    </row>
    <row r="94" spans="1:15" hidden="1" x14ac:dyDescent="0.25">
      <c r="A94" t="s">
        <v>15</v>
      </c>
      <c r="B94" t="s">
        <v>112</v>
      </c>
      <c r="C94" t="s">
        <v>18</v>
      </c>
      <c r="D94" t="s">
        <v>803</v>
      </c>
      <c r="E94" t="s">
        <v>18</v>
      </c>
      <c r="F94" t="s">
        <v>804</v>
      </c>
      <c r="G94" t="s">
        <v>805</v>
      </c>
      <c r="H94" t="s">
        <v>806</v>
      </c>
      <c r="I94" t="s">
        <v>807</v>
      </c>
      <c r="J94" t="s">
        <v>808</v>
      </c>
      <c r="K94" t="s">
        <v>809</v>
      </c>
      <c r="L94" t="s">
        <v>810</v>
      </c>
      <c r="M94" t="s">
        <v>48</v>
      </c>
      <c r="N94" t="s">
        <v>811</v>
      </c>
      <c r="O94" t="s">
        <v>812</v>
      </c>
    </row>
    <row r="95" spans="1:15" hidden="1" x14ac:dyDescent="0.25">
      <c r="A95" t="s">
        <v>15</v>
      </c>
      <c r="B95" t="s">
        <v>112</v>
      </c>
      <c r="C95" t="s">
        <v>18</v>
      </c>
      <c r="D95" t="s">
        <v>602</v>
      </c>
      <c r="E95" t="s">
        <v>18</v>
      </c>
      <c r="F95" t="s">
        <v>813</v>
      </c>
      <c r="G95" t="s">
        <v>814</v>
      </c>
      <c r="H95" t="s">
        <v>815</v>
      </c>
      <c r="I95" t="s">
        <v>816</v>
      </c>
      <c r="J95" t="s">
        <v>817</v>
      </c>
      <c r="K95" t="s">
        <v>818</v>
      </c>
      <c r="L95" t="s">
        <v>819</v>
      </c>
      <c r="M95" t="s">
        <v>25</v>
      </c>
      <c r="N95" t="s">
        <v>820</v>
      </c>
      <c r="O95" t="s">
        <v>821</v>
      </c>
    </row>
    <row r="96" spans="1:15" hidden="1" x14ac:dyDescent="0.25">
      <c r="A96" t="s">
        <v>15</v>
      </c>
      <c r="B96" t="s">
        <v>112</v>
      </c>
      <c r="C96" t="s">
        <v>18</v>
      </c>
      <c r="D96" t="s">
        <v>602</v>
      </c>
      <c r="E96" t="s">
        <v>18</v>
      </c>
      <c r="F96" t="s">
        <v>822</v>
      </c>
      <c r="G96" t="s">
        <v>823</v>
      </c>
      <c r="H96" t="s">
        <v>824</v>
      </c>
      <c r="I96" t="s">
        <v>825</v>
      </c>
      <c r="J96" t="s">
        <v>826</v>
      </c>
      <c r="K96" t="s">
        <v>827</v>
      </c>
      <c r="L96" t="s">
        <v>828</v>
      </c>
      <c r="M96" t="s">
        <v>25</v>
      </c>
      <c r="N96" t="s">
        <v>829</v>
      </c>
      <c r="O96" t="s">
        <v>830</v>
      </c>
    </row>
    <row r="97" spans="1:15" hidden="1" x14ac:dyDescent="0.25">
      <c r="A97" t="s">
        <v>15</v>
      </c>
      <c r="B97" t="s">
        <v>112</v>
      </c>
      <c r="C97" t="s">
        <v>18</v>
      </c>
      <c r="D97" t="s">
        <v>831</v>
      </c>
      <c r="E97" t="s">
        <v>18</v>
      </c>
      <c r="F97" t="s">
        <v>832</v>
      </c>
      <c r="G97" t="s">
        <v>833</v>
      </c>
      <c r="H97" t="s">
        <v>834</v>
      </c>
      <c r="I97" t="s">
        <v>835</v>
      </c>
      <c r="J97" t="s">
        <v>836</v>
      </c>
      <c r="K97" t="s">
        <v>837</v>
      </c>
      <c r="L97" t="s">
        <v>838</v>
      </c>
      <c r="M97" t="s">
        <v>25</v>
      </c>
      <c r="N97" t="s">
        <v>839</v>
      </c>
      <c r="O97" t="s">
        <v>840</v>
      </c>
    </row>
    <row r="98" spans="1:15" hidden="1" x14ac:dyDescent="0.25">
      <c r="A98" t="s">
        <v>15</v>
      </c>
      <c r="B98" t="s">
        <v>112</v>
      </c>
      <c r="C98" t="s">
        <v>18</v>
      </c>
      <c r="D98" t="s">
        <v>841</v>
      </c>
      <c r="E98" t="s">
        <v>18</v>
      </c>
      <c r="F98" t="s">
        <v>842</v>
      </c>
      <c r="G98" t="s">
        <v>843</v>
      </c>
      <c r="H98" t="s">
        <v>844</v>
      </c>
      <c r="I98" t="s">
        <v>845</v>
      </c>
      <c r="J98" t="s">
        <v>846</v>
      </c>
      <c r="K98" t="s">
        <v>847</v>
      </c>
      <c r="L98" t="s">
        <v>848</v>
      </c>
      <c r="M98" t="s">
        <v>25</v>
      </c>
      <c r="N98" t="s">
        <v>849</v>
      </c>
      <c r="O98" t="s">
        <v>850</v>
      </c>
    </row>
    <row r="99" spans="1:15" hidden="1" x14ac:dyDescent="0.25">
      <c r="A99" t="s">
        <v>15</v>
      </c>
      <c r="B99" t="s">
        <v>112</v>
      </c>
      <c r="C99" t="s">
        <v>18</v>
      </c>
      <c r="D99" t="s">
        <v>851</v>
      </c>
      <c r="E99" t="s">
        <v>18</v>
      </c>
      <c r="F99" t="s">
        <v>852</v>
      </c>
      <c r="G99" t="s">
        <v>853</v>
      </c>
      <c r="H99" t="s">
        <v>854</v>
      </c>
      <c r="I99" t="s">
        <v>855</v>
      </c>
      <c r="J99" t="s">
        <v>856</v>
      </c>
      <c r="K99" t="s">
        <v>847</v>
      </c>
      <c r="L99" t="s">
        <v>848</v>
      </c>
      <c r="M99" t="s">
        <v>25</v>
      </c>
      <c r="N99" t="s">
        <v>857</v>
      </c>
      <c r="O99" t="s">
        <v>858</v>
      </c>
    </row>
    <row r="100" spans="1:15" hidden="1" x14ac:dyDescent="0.25">
      <c r="A100" t="s">
        <v>15</v>
      </c>
      <c r="B100" t="s">
        <v>28</v>
      </c>
      <c r="C100" t="s">
        <v>29</v>
      </c>
      <c r="D100" t="s">
        <v>18</v>
      </c>
      <c r="E100" t="s">
        <v>18</v>
      </c>
      <c r="F100" t="s">
        <v>859</v>
      </c>
      <c r="G100" t="s">
        <v>860</v>
      </c>
      <c r="H100" t="s">
        <v>861</v>
      </c>
      <c r="I100" t="s">
        <v>862</v>
      </c>
      <c r="J100" t="s">
        <v>862</v>
      </c>
      <c r="K100" t="s">
        <v>863</v>
      </c>
      <c r="L100" t="s">
        <v>24</v>
      </c>
      <c r="M100" t="s">
        <v>25</v>
      </c>
      <c r="N100" t="s">
        <v>864</v>
      </c>
      <c r="O100" t="s">
        <v>865</v>
      </c>
    </row>
    <row r="101" spans="1:15" hidden="1" x14ac:dyDescent="0.25">
      <c r="A101" t="s">
        <v>15</v>
      </c>
      <c r="B101" t="s">
        <v>28</v>
      </c>
      <c r="C101" t="s">
        <v>866</v>
      </c>
      <c r="D101" t="s">
        <v>18</v>
      </c>
      <c r="E101" t="s">
        <v>18</v>
      </c>
      <c r="F101" t="s">
        <v>867</v>
      </c>
      <c r="G101" t="s">
        <v>868</v>
      </c>
      <c r="H101" t="s">
        <v>869</v>
      </c>
      <c r="I101" t="s">
        <v>870</v>
      </c>
      <c r="J101" t="s">
        <v>870</v>
      </c>
      <c r="K101" t="s">
        <v>871</v>
      </c>
      <c r="L101" t="s">
        <v>24</v>
      </c>
      <c r="M101" t="s">
        <v>48</v>
      </c>
      <c r="N101" t="s">
        <v>872</v>
      </c>
      <c r="O101" t="s">
        <v>873</v>
      </c>
    </row>
    <row r="102" spans="1:15" hidden="1" x14ac:dyDescent="0.25">
      <c r="A102" t="s">
        <v>15</v>
      </c>
      <c r="B102" t="s">
        <v>349</v>
      </c>
      <c r="C102" t="s">
        <v>874</v>
      </c>
      <c r="D102" t="s">
        <v>18</v>
      </c>
      <c r="E102" t="s">
        <v>18</v>
      </c>
      <c r="F102" t="s">
        <v>875</v>
      </c>
      <c r="G102" t="s">
        <v>876</v>
      </c>
      <c r="H102" t="s">
        <v>877</v>
      </c>
      <c r="I102" t="s">
        <v>877</v>
      </c>
      <c r="J102" t="s">
        <v>877</v>
      </c>
      <c r="K102" t="s">
        <v>448</v>
      </c>
      <c r="L102" t="s">
        <v>449</v>
      </c>
      <c r="M102" t="s">
        <v>25</v>
      </c>
      <c r="N102" t="s">
        <v>878</v>
      </c>
      <c r="O102" t="s">
        <v>879</v>
      </c>
    </row>
    <row r="103" spans="1:15" hidden="1" x14ac:dyDescent="0.25">
      <c r="A103" t="s">
        <v>15</v>
      </c>
      <c r="B103" t="s">
        <v>349</v>
      </c>
      <c r="C103" t="s">
        <v>880</v>
      </c>
      <c r="D103" t="s">
        <v>18</v>
      </c>
      <c r="E103" t="s">
        <v>18</v>
      </c>
      <c r="F103" t="s">
        <v>875</v>
      </c>
      <c r="G103" t="s">
        <v>881</v>
      </c>
      <c r="H103" t="s">
        <v>882</v>
      </c>
      <c r="I103" t="s">
        <v>882</v>
      </c>
      <c r="J103" t="s">
        <v>882</v>
      </c>
      <c r="K103" t="s">
        <v>883</v>
      </c>
      <c r="L103" t="s">
        <v>884</v>
      </c>
      <c r="M103" t="s">
        <v>25</v>
      </c>
      <c r="N103" t="s">
        <v>885</v>
      </c>
      <c r="O103" t="s">
        <v>886</v>
      </c>
    </row>
    <row r="104" spans="1:15" hidden="1" x14ac:dyDescent="0.25">
      <c r="A104" t="s">
        <v>15</v>
      </c>
      <c r="B104" t="s">
        <v>349</v>
      </c>
      <c r="C104" t="s">
        <v>880</v>
      </c>
      <c r="D104" t="s">
        <v>18</v>
      </c>
      <c r="E104" t="s">
        <v>18</v>
      </c>
      <c r="F104" t="s">
        <v>875</v>
      </c>
      <c r="G104" t="s">
        <v>887</v>
      </c>
      <c r="H104" t="s">
        <v>882</v>
      </c>
      <c r="I104" t="s">
        <v>882</v>
      </c>
      <c r="J104" t="s">
        <v>882</v>
      </c>
      <c r="K104" t="s">
        <v>888</v>
      </c>
      <c r="L104" t="s">
        <v>889</v>
      </c>
      <c r="M104" t="s">
        <v>25</v>
      </c>
      <c r="N104" t="s">
        <v>890</v>
      </c>
      <c r="O104" t="s">
        <v>891</v>
      </c>
    </row>
    <row r="105" spans="1:15" hidden="1" x14ac:dyDescent="0.25">
      <c r="A105" t="s">
        <v>15</v>
      </c>
      <c r="B105" t="s">
        <v>349</v>
      </c>
      <c r="C105" t="s">
        <v>880</v>
      </c>
      <c r="D105" t="s">
        <v>18</v>
      </c>
      <c r="E105" t="s">
        <v>18</v>
      </c>
      <c r="F105" t="s">
        <v>875</v>
      </c>
      <c r="G105" t="s">
        <v>892</v>
      </c>
      <c r="H105" t="s">
        <v>882</v>
      </c>
      <c r="I105" t="s">
        <v>882</v>
      </c>
      <c r="J105" t="s">
        <v>882</v>
      </c>
      <c r="K105" t="s">
        <v>893</v>
      </c>
      <c r="L105" t="s">
        <v>894</v>
      </c>
      <c r="M105" t="s">
        <v>25</v>
      </c>
      <c r="N105" t="s">
        <v>895</v>
      </c>
      <c r="O105" t="s">
        <v>896</v>
      </c>
    </row>
    <row r="106" spans="1:15" hidden="1" x14ac:dyDescent="0.25">
      <c r="A106" t="s">
        <v>774</v>
      </c>
      <c r="B106" t="s">
        <v>16</v>
      </c>
      <c r="C106" t="s">
        <v>897</v>
      </c>
      <c r="D106" t="s">
        <v>18</v>
      </c>
      <c r="E106" t="s">
        <v>18</v>
      </c>
      <c r="F106" t="s">
        <v>898</v>
      </c>
      <c r="G106" t="s">
        <v>899</v>
      </c>
      <c r="H106" t="s">
        <v>900</v>
      </c>
      <c r="I106" t="s">
        <v>901</v>
      </c>
      <c r="J106" t="s">
        <v>901</v>
      </c>
      <c r="K106" t="s">
        <v>902</v>
      </c>
      <c r="L106" t="s">
        <v>24</v>
      </c>
      <c r="M106" t="s">
        <v>25</v>
      </c>
      <c r="O106" t="s">
        <v>903</v>
      </c>
    </row>
    <row r="107" spans="1:15" x14ac:dyDescent="0.25">
      <c r="A107" t="s">
        <v>15</v>
      </c>
      <c r="B107" t="s">
        <v>65</v>
      </c>
      <c r="C107" t="s">
        <v>103</v>
      </c>
      <c r="D107" t="s">
        <v>18</v>
      </c>
      <c r="E107" t="s">
        <v>18</v>
      </c>
      <c r="F107" t="s">
        <v>904</v>
      </c>
      <c r="G107" t="s">
        <v>905</v>
      </c>
      <c r="H107" t="s">
        <v>906</v>
      </c>
      <c r="I107" t="s">
        <v>907</v>
      </c>
      <c r="J107" t="s">
        <v>907</v>
      </c>
      <c r="K107" t="s">
        <v>908</v>
      </c>
      <c r="L107" t="s">
        <v>909</v>
      </c>
      <c r="M107" t="s">
        <v>25</v>
      </c>
      <c r="N107" t="s">
        <v>910</v>
      </c>
      <c r="O107" t="s">
        <v>911</v>
      </c>
    </row>
    <row r="108" spans="1:15" hidden="1" x14ac:dyDescent="0.25">
      <c r="A108" t="s">
        <v>15</v>
      </c>
      <c r="B108" t="s">
        <v>28</v>
      </c>
      <c r="C108" t="s">
        <v>200</v>
      </c>
      <c r="D108" t="s">
        <v>18</v>
      </c>
      <c r="E108" t="s">
        <v>18</v>
      </c>
      <c r="F108" t="s">
        <v>912</v>
      </c>
      <c r="G108" t="s">
        <v>913</v>
      </c>
      <c r="H108" t="s">
        <v>914</v>
      </c>
      <c r="I108" t="s">
        <v>915</v>
      </c>
      <c r="J108" t="s">
        <v>915</v>
      </c>
      <c r="K108" t="s">
        <v>916</v>
      </c>
      <c r="L108" t="s">
        <v>917</v>
      </c>
      <c r="M108" t="s">
        <v>25</v>
      </c>
      <c r="N108" t="s">
        <v>918</v>
      </c>
      <c r="O108" t="s">
        <v>919</v>
      </c>
    </row>
  </sheetData>
  <autoFilter ref="A1:O108" xr:uid="{00000000-0001-0000-0000-000000000000}">
    <filterColumn colId="1">
      <filters>
        <filter val="Proveedor"/>
      </filters>
    </filterColumn>
  </autoFilter>
  <pageMargins left="0.7" right="0.7" top="0.75" bottom="0.75" header="0.3" footer="0.3"/>
  <ignoredErrors>
    <ignoredError sqref="A1:O1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EB7E-36BB-4120-A86D-B0986F7240FE}">
  <dimension ref="A1:R42"/>
  <sheetViews>
    <sheetView workbookViewId="0">
      <selection activeCell="R41" sqref="R2:R41"/>
    </sheetView>
  </sheetViews>
  <sheetFormatPr baseColWidth="10" defaultRowHeight="15.75" x14ac:dyDescent="0.25"/>
  <cols>
    <col min="5" max="5" width="23.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977</v>
      </c>
      <c r="N1" t="s">
        <v>12</v>
      </c>
      <c r="O1" t="s">
        <v>13</v>
      </c>
      <c r="P1" t="s">
        <v>14</v>
      </c>
      <c r="Q1" t="s">
        <v>976</v>
      </c>
      <c r="R1" t="s">
        <v>978</v>
      </c>
    </row>
    <row r="2" spans="1:18" x14ac:dyDescent="0.25">
      <c r="A2" t="s">
        <v>15</v>
      </c>
      <c r="B2" t="s">
        <v>65</v>
      </c>
      <c r="C2" t="s">
        <v>66</v>
      </c>
      <c r="D2" t="s">
        <v>18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71</v>
      </c>
      <c r="K2" t="s">
        <v>72</v>
      </c>
      <c r="L2" t="s">
        <v>73</v>
      </c>
      <c r="M2">
        <f>K2+L2</f>
        <v>52</v>
      </c>
      <c r="N2" t="s">
        <v>25</v>
      </c>
      <c r="O2" t="s">
        <v>74</v>
      </c>
      <c r="P2" t="s">
        <v>75</v>
      </c>
      <c r="Q2">
        <f>IF(N2="PEN",K2*1,K2*3.64)</f>
        <v>44.07</v>
      </c>
      <c r="R2">
        <v>44.07</v>
      </c>
    </row>
    <row r="3" spans="1:18" x14ac:dyDescent="0.25">
      <c r="A3" t="s">
        <v>15</v>
      </c>
      <c r="B3" t="s">
        <v>65</v>
      </c>
      <c r="C3" t="s">
        <v>76</v>
      </c>
      <c r="D3" t="s">
        <v>18</v>
      </c>
      <c r="E3" t="s">
        <v>77</v>
      </c>
      <c r="F3" t="s">
        <v>78</v>
      </c>
      <c r="G3" t="s">
        <v>79</v>
      </c>
      <c r="H3" t="s">
        <v>80</v>
      </c>
      <c r="I3" t="s">
        <v>80</v>
      </c>
      <c r="J3" t="s">
        <v>80</v>
      </c>
      <c r="K3" t="s">
        <v>81</v>
      </c>
      <c r="L3" t="s">
        <v>82</v>
      </c>
      <c r="M3">
        <f t="shared" ref="M3:M41" si="0">K3+L3</f>
        <v>860.26</v>
      </c>
      <c r="N3" t="s">
        <v>25</v>
      </c>
      <c r="O3" t="s">
        <v>83</v>
      </c>
      <c r="P3" t="s">
        <v>84</v>
      </c>
      <c r="Q3">
        <f t="shared" ref="Q3:Q41" si="1">IF(N3="PEN",K3*1,K3*3.64)</f>
        <v>729.04</v>
      </c>
      <c r="R3">
        <v>729.04</v>
      </c>
    </row>
    <row r="4" spans="1:18" x14ac:dyDescent="0.25">
      <c r="A4" t="s">
        <v>15</v>
      </c>
      <c r="B4" t="s">
        <v>65</v>
      </c>
      <c r="C4" t="s">
        <v>85</v>
      </c>
      <c r="D4" t="s">
        <v>18</v>
      </c>
      <c r="E4" t="s">
        <v>86</v>
      </c>
      <c r="F4" t="s">
        <v>87</v>
      </c>
      <c r="G4" t="s">
        <v>88</v>
      </c>
      <c r="H4" t="s">
        <v>89</v>
      </c>
      <c r="I4" t="s">
        <v>89</v>
      </c>
      <c r="J4" t="s">
        <v>89</v>
      </c>
      <c r="K4" t="s">
        <v>90</v>
      </c>
      <c r="L4" t="s">
        <v>91</v>
      </c>
      <c r="M4">
        <f t="shared" si="0"/>
        <v>60</v>
      </c>
      <c r="N4" t="s">
        <v>25</v>
      </c>
      <c r="O4" t="s">
        <v>92</v>
      </c>
      <c r="P4" t="s">
        <v>93</v>
      </c>
      <c r="Q4">
        <f t="shared" si="1"/>
        <v>50.85</v>
      </c>
      <c r="R4">
        <v>50.85</v>
      </c>
    </row>
    <row r="5" spans="1:18" x14ac:dyDescent="0.25">
      <c r="A5" t="s">
        <v>15</v>
      </c>
      <c r="B5" t="s">
        <v>65</v>
      </c>
      <c r="C5" t="s">
        <v>94</v>
      </c>
      <c r="D5" t="s">
        <v>18</v>
      </c>
      <c r="E5" t="s">
        <v>95</v>
      </c>
      <c r="F5" t="s">
        <v>96</v>
      </c>
      <c r="G5" t="s">
        <v>97</v>
      </c>
      <c r="H5" t="s">
        <v>98</v>
      </c>
      <c r="I5" t="s">
        <v>98</v>
      </c>
      <c r="J5" t="s">
        <v>98</v>
      </c>
      <c r="K5" t="s">
        <v>99</v>
      </c>
      <c r="L5" t="s">
        <v>100</v>
      </c>
      <c r="M5">
        <f t="shared" si="0"/>
        <v>104.97</v>
      </c>
      <c r="N5" t="s">
        <v>25</v>
      </c>
      <c r="O5" t="s">
        <v>101</v>
      </c>
      <c r="P5" t="s">
        <v>102</v>
      </c>
      <c r="Q5">
        <f t="shared" si="1"/>
        <v>88.96</v>
      </c>
      <c r="R5">
        <v>88.96</v>
      </c>
    </row>
    <row r="6" spans="1:18" x14ac:dyDescent="0.25">
      <c r="A6" t="s">
        <v>15</v>
      </c>
      <c r="B6" t="s">
        <v>65</v>
      </c>
      <c r="C6" t="s">
        <v>103</v>
      </c>
      <c r="D6" t="s">
        <v>18</v>
      </c>
      <c r="E6" t="s">
        <v>104</v>
      </c>
      <c r="F6" t="s">
        <v>105</v>
      </c>
      <c r="G6" t="s">
        <v>106</v>
      </c>
      <c r="H6" t="s">
        <v>107</v>
      </c>
      <c r="I6" t="s">
        <v>107</v>
      </c>
      <c r="J6" t="s">
        <v>107</v>
      </c>
      <c r="K6" t="s">
        <v>108</v>
      </c>
      <c r="L6" t="s">
        <v>109</v>
      </c>
      <c r="M6">
        <f t="shared" si="0"/>
        <v>992.1</v>
      </c>
      <c r="N6" t="s">
        <v>25</v>
      </c>
      <c r="O6" t="s">
        <v>110</v>
      </c>
      <c r="P6" t="s">
        <v>111</v>
      </c>
      <c r="Q6">
        <f t="shared" si="1"/>
        <v>840.76</v>
      </c>
      <c r="R6">
        <v>840.76</v>
      </c>
    </row>
    <row r="7" spans="1:18" x14ac:dyDescent="0.25">
      <c r="A7" t="s">
        <v>15</v>
      </c>
      <c r="B7" t="s">
        <v>65</v>
      </c>
      <c r="C7" t="s">
        <v>139</v>
      </c>
      <c r="D7" t="s">
        <v>18</v>
      </c>
      <c r="E7" t="s">
        <v>140</v>
      </c>
      <c r="F7" t="s">
        <v>141</v>
      </c>
      <c r="G7" t="s">
        <v>142</v>
      </c>
      <c r="H7" t="s">
        <v>143</v>
      </c>
      <c r="I7" t="s">
        <v>143</v>
      </c>
      <c r="J7" t="s">
        <v>143</v>
      </c>
      <c r="K7" t="s">
        <v>144</v>
      </c>
      <c r="L7" t="s">
        <v>145</v>
      </c>
      <c r="M7">
        <f t="shared" si="0"/>
        <v>1055.4000000000001</v>
      </c>
      <c r="N7" t="s">
        <v>25</v>
      </c>
      <c r="O7" t="s">
        <v>146</v>
      </c>
      <c r="P7" t="s">
        <v>147</v>
      </c>
      <c r="Q7">
        <f t="shared" si="1"/>
        <v>894.41</v>
      </c>
      <c r="R7">
        <v>894.41</v>
      </c>
    </row>
    <row r="8" spans="1:18" x14ac:dyDescent="0.25">
      <c r="A8" t="s">
        <v>15</v>
      </c>
      <c r="B8" t="s">
        <v>65</v>
      </c>
      <c r="C8" t="s">
        <v>139</v>
      </c>
      <c r="D8" t="s">
        <v>18</v>
      </c>
      <c r="E8" t="s">
        <v>183</v>
      </c>
      <c r="F8" t="s">
        <v>184</v>
      </c>
      <c r="G8" t="s">
        <v>185</v>
      </c>
      <c r="H8" t="s">
        <v>186</v>
      </c>
      <c r="I8" t="s">
        <v>186</v>
      </c>
      <c r="J8" t="s">
        <v>186</v>
      </c>
      <c r="K8" t="s">
        <v>187</v>
      </c>
      <c r="L8" t="s">
        <v>188</v>
      </c>
      <c r="M8">
        <f t="shared" si="0"/>
        <v>703.61</v>
      </c>
      <c r="N8" t="s">
        <v>25</v>
      </c>
      <c r="O8" t="s">
        <v>189</v>
      </c>
      <c r="P8" t="s">
        <v>190</v>
      </c>
      <c r="Q8">
        <f t="shared" si="1"/>
        <v>596.28</v>
      </c>
      <c r="R8">
        <v>596.28</v>
      </c>
    </row>
    <row r="9" spans="1:18" x14ac:dyDescent="0.25">
      <c r="A9" t="s">
        <v>15</v>
      </c>
      <c r="B9" t="s">
        <v>65</v>
      </c>
      <c r="C9" t="s">
        <v>191</v>
      </c>
      <c r="D9" t="s">
        <v>18</v>
      </c>
      <c r="E9" t="s">
        <v>192</v>
      </c>
      <c r="F9" t="s">
        <v>193</v>
      </c>
      <c r="G9" t="s">
        <v>194</v>
      </c>
      <c r="H9" t="s">
        <v>195</v>
      </c>
      <c r="I9" t="s">
        <v>195</v>
      </c>
      <c r="J9" t="s">
        <v>195</v>
      </c>
      <c r="K9" t="s">
        <v>196</v>
      </c>
      <c r="L9" t="s">
        <v>197</v>
      </c>
      <c r="M9">
        <f t="shared" si="0"/>
        <v>100.89</v>
      </c>
      <c r="N9" t="s">
        <v>48</v>
      </c>
      <c r="O9" t="s">
        <v>198</v>
      </c>
      <c r="P9" t="s">
        <v>199</v>
      </c>
      <c r="Q9">
        <f t="shared" si="1"/>
        <v>311.22000000000003</v>
      </c>
      <c r="R9">
        <v>311.22000000000003</v>
      </c>
    </row>
    <row r="10" spans="1:18" x14ac:dyDescent="0.25">
      <c r="A10" t="s">
        <v>15</v>
      </c>
      <c r="B10" t="s">
        <v>65</v>
      </c>
      <c r="C10" t="s">
        <v>209</v>
      </c>
      <c r="D10" t="s">
        <v>18</v>
      </c>
      <c r="E10" t="s">
        <v>210</v>
      </c>
      <c r="F10" t="s">
        <v>211</v>
      </c>
      <c r="G10" t="s">
        <v>212</v>
      </c>
      <c r="H10" t="s">
        <v>213</v>
      </c>
      <c r="I10" t="s">
        <v>213</v>
      </c>
      <c r="J10" t="s">
        <v>213</v>
      </c>
      <c r="K10" t="s">
        <v>214</v>
      </c>
      <c r="L10" t="s">
        <v>215</v>
      </c>
      <c r="M10">
        <f t="shared" si="0"/>
        <v>51.12</v>
      </c>
      <c r="N10" t="s">
        <v>25</v>
      </c>
      <c r="O10" t="s">
        <v>216</v>
      </c>
      <c r="P10" t="s">
        <v>217</v>
      </c>
      <c r="Q10">
        <f t="shared" si="1"/>
        <v>43.32</v>
      </c>
      <c r="R10">
        <v>43.32</v>
      </c>
    </row>
    <row r="11" spans="1:18" x14ac:dyDescent="0.25">
      <c r="A11" t="s">
        <v>15</v>
      </c>
      <c r="B11" t="s">
        <v>65</v>
      </c>
      <c r="C11" t="s">
        <v>218</v>
      </c>
      <c r="D11" t="s">
        <v>18</v>
      </c>
      <c r="E11" t="s">
        <v>219</v>
      </c>
      <c r="F11" t="s">
        <v>220</v>
      </c>
      <c r="G11" t="s">
        <v>221</v>
      </c>
      <c r="H11" t="s">
        <v>222</v>
      </c>
      <c r="I11" t="s">
        <v>222</v>
      </c>
      <c r="J11" t="s">
        <v>222</v>
      </c>
      <c r="K11" t="s">
        <v>223</v>
      </c>
      <c r="L11" t="s">
        <v>224</v>
      </c>
      <c r="M11">
        <f t="shared" si="0"/>
        <v>1264.95</v>
      </c>
      <c r="N11" t="s">
        <v>25</v>
      </c>
      <c r="O11" t="s">
        <v>225</v>
      </c>
      <c r="P11" t="s">
        <v>226</v>
      </c>
      <c r="Q11">
        <f t="shared" si="1"/>
        <v>1071.99</v>
      </c>
      <c r="R11">
        <v>1071.99</v>
      </c>
    </row>
    <row r="12" spans="1:18" x14ac:dyDescent="0.25">
      <c r="A12" t="s">
        <v>15</v>
      </c>
      <c r="B12" t="s">
        <v>65</v>
      </c>
      <c r="C12" t="s">
        <v>227</v>
      </c>
      <c r="D12" t="s">
        <v>18</v>
      </c>
      <c r="E12" t="s">
        <v>228</v>
      </c>
      <c r="F12" t="s">
        <v>229</v>
      </c>
      <c r="G12" t="s">
        <v>230</v>
      </c>
      <c r="H12" t="s">
        <v>231</v>
      </c>
      <c r="I12" t="s">
        <v>232</v>
      </c>
      <c r="J12" t="s">
        <v>232</v>
      </c>
      <c r="K12" t="s">
        <v>233</v>
      </c>
      <c r="L12" t="s">
        <v>234</v>
      </c>
      <c r="M12">
        <f t="shared" si="0"/>
        <v>175.01</v>
      </c>
      <c r="N12" t="s">
        <v>25</v>
      </c>
      <c r="O12" t="s">
        <v>235</v>
      </c>
      <c r="P12" t="s">
        <v>236</v>
      </c>
      <c r="Q12">
        <f t="shared" si="1"/>
        <v>148.31</v>
      </c>
      <c r="R12">
        <v>148.31</v>
      </c>
    </row>
    <row r="13" spans="1:18" x14ac:dyDescent="0.25">
      <c r="A13" t="s">
        <v>15</v>
      </c>
      <c r="B13" t="s">
        <v>65</v>
      </c>
      <c r="C13" t="s">
        <v>227</v>
      </c>
      <c r="D13" t="s">
        <v>18</v>
      </c>
      <c r="E13" t="s">
        <v>237</v>
      </c>
      <c r="F13" t="s">
        <v>238</v>
      </c>
      <c r="G13" t="s">
        <v>239</v>
      </c>
      <c r="H13" t="s">
        <v>240</v>
      </c>
      <c r="I13" t="s">
        <v>240</v>
      </c>
      <c r="J13" t="s">
        <v>240</v>
      </c>
      <c r="K13" t="s">
        <v>241</v>
      </c>
      <c r="L13" t="s">
        <v>242</v>
      </c>
      <c r="M13">
        <f t="shared" si="0"/>
        <v>140</v>
      </c>
      <c r="N13" t="s">
        <v>25</v>
      </c>
      <c r="O13" t="s">
        <v>243</v>
      </c>
      <c r="P13" t="s">
        <v>244</v>
      </c>
      <c r="Q13">
        <f t="shared" si="1"/>
        <v>118.64</v>
      </c>
      <c r="R13">
        <v>118.64</v>
      </c>
    </row>
    <row r="14" spans="1:18" x14ac:dyDescent="0.25">
      <c r="A14" t="s">
        <v>15</v>
      </c>
      <c r="B14" t="s">
        <v>65</v>
      </c>
      <c r="C14" t="s">
        <v>227</v>
      </c>
      <c r="D14" t="s">
        <v>18</v>
      </c>
      <c r="E14" t="s">
        <v>245</v>
      </c>
      <c r="F14" t="s">
        <v>246</v>
      </c>
      <c r="G14" t="s">
        <v>247</v>
      </c>
      <c r="H14" t="s">
        <v>248</v>
      </c>
      <c r="I14" t="s">
        <v>249</v>
      </c>
      <c r="J14" t="s">
        <v>249</v>
      </c>
      <c r="K14" t="s">
        <v>250</v>
      </c>
      <c r="L14" t="s">
        <v>251</v>
      </c>
      <c r="M14">
        <f t="shared" si="0"/>
        <v>1259.96</v>
      </c>
      <c r="N14" t="s">
        <v>25</v>
      </c>
      <c r="O14" t="s">
        <v>252</v>
      </c>
      <c r="P14" t="s">
        <v>253</v>
      </c>
      <c r="Q14">
        <f t="shared" si="1"/>
        <v>1067.76</v>
      </c>
      <c r="R14">
        <v>1067.76</v>
      </c>
    </row>
    <row r="15" spans="1:18" x14ac:dyDescent="0.25">
      <c r="A15" t="s">
        <v>15</v>
      </c>
      <c r="B15" t="s">
        <v>65</v>
      </c>
      <c r="C15" t="s">
        <v>227</v>
      </c>
      <c r="D15" t="s">
        <v>18</v>
      </c>
      <c r="E15" t="s">
        <v>254</v>
      </c>
      <c r="F15" t="s">
        <v>255</v>
      </c>
      <c r="G15" t="s">
        <v>256</v>
      </c>
      <c r="H15" t="s">
        <v>257</v>
      </c>
      <c r="I15" t="s">
        <v>258</v>
      </c>
      <c r="J15" t="s">
        <v>258</v>
      </c>
      <c r="K15" t="s">
        <v>259</v>
      </c>
      <c r="L15" t="s">
        <v>260</v>
      </c>
      <c r="M15">
        <f t="shared" si="0"/>
        <v>300</v>
      </c>
      <c r="N15" t="s">
        <v>25</v>
      </c>
      <c r="O15" t="s">
        <v>261</v>
      </c>
      <c r="P15" t="s">
        <v>262</v>
      </c>
      <c r="Q15">
        <f t="shared" si="1"/>
        <v>254.24</v>
      </c>
      <c r="R15">
        <v>254.24</v>
      </c>
    </row>
    <row r="16" spans="1:18" x14ac:dyDescent="0.25">
      <c r="A16" t="s">
        <v>15</v>
      </c>
      <c r="B16" t="s">
        <v>65</v>
      </c>
      <c r="C16" t="s">
        <v>227</v>
      </c>
      <c r="D16" t="s">
        <v>18</v>
      </c>
      <c r="E16" t="s">
        <v>263</v>
      </c>
      <c r="F16" t="s">
        <v>264</v>
      </c>
      <c r="G16" t="s">
        <v>265</v>
      </c>
      <c r="H16" t="s">
        <v>266</v>
      </c>
      <c r="I16" t="s">
        <v>267</v>
      </c>
      <c r="J16" t="s">
        <v>267</v>
      </c>
      <c r="K16" t="s">
        <v>233</v>
      </c>
      <c r="L16" t="s">
        <v>234</v>
      </c>
      <c r="M16">
        <f t="shared" si="0"/>
        <v>175.01</v>
      </c>
      <c r="N16" t="s">
        <v>25</v>
      </c>
      <c r="O16" t="s">
        <v>268</v>
      </c>
      <c r="P16" t="s">
        <v>269</v>
      </c>
      <c r="Q16">
        <f t="shared" si="1"/>
        <v>148.31</v>
      </c>
      <c r="R16">
        <v>148.31</v>
      </c>
    </row>
    <row r="17" spans="1:18" x14ac:dyDescent="0.25">
      <c r="A17" t="s">
        <v>15</v>
      </c>
      <c r="B17" t="s">
        <v>65</v>
      </c>
      <c r="C17" t="s">
        <v>227</v>
      </c>
      <c r="D17" t="s">
        <v>18</v>
      </c>
      <c r="E17" t="s">
        <v>270</v>
      </c>
      <c r="F17" t="s">
        <v>271</v>
      </c>
      <c r="G17" t="s">
        <v>272</v>
      </c>
      <c r="H17" t="s">
        <v>273</v>
      </c>
      <c r="I17" t="s">
        <v>274</v>
      </c>
      <c r="J17" t="s">
        <v>274</v>
      </c>
      <c r="K17" t="s">
        <v>275</v>
      </c>
      <c r="L17" t="s">
        <v>276</v>
      </c>
      <c r="M17">
        <f t="shared" si="0"/>
        <v>1100.02</v>
      </c>
      <c r="N17" t="s">
        <v>25</v>
      </c>
      <c r="O17" t="s">
        <v>277</v>
      </c>
      <c r="P17" t="s">
        <v>278</v>
      </c>
      <c r="Q17">
        <f t="shared" si="1"/>
        <v>932.22</v>
      </c>
      <c r="R17">
        <v>932.22</v>
      </c>
    </row>
    <row r="18" spans="1:18" x14ac:dyDescent="0.25">
      <c r="A18" t="s">
        <v>15</v>
      </c>
      <c r="B18" t="s">
        <v>65</v>
      </c>
      <c r="C18" t="s">
        <v>227</v>
      </c>
      <c r="D18" t="s">
        <v>18</v>
      </c>
      <c r="E18" t="s">
        <v>279</v>
      </c>
      <c r="F18" t="s">
        <v>280</v>
      </c>
      <c r="G18" t="s">
        <v>281</v>
      </c>
      <c r="H18" t="s">
        <v>282</v>
      </c>
      <c r="I18" t="s">
        <v>282</v>
      </c>
      <c r="J18" t="s">
        <v>283</v>
      </c>
      <c r="K18" t="s">
        <v>284</v>
      </c>
      <c r="L18" t="s">
        <v>285</v>
      </c>
      <c r="M18">
        <f t="shared" si="0"/>
        <v>215</v>
      </c>
      <c r="N18" t="s">
        <v>25</v>
      </c>
      <c r="O18" t="s">
        <v>286</v>
      </c>
      <c r="P18" t="s">
        <v>287</v>
      </c>
      <c r="Q18">
        <f t="shared" si="1"/>
        <v>182.2</v>
      </c>
      <c r="R18">
        <v>182.2</v>
      </c>
    </row>
    <row r="19" spans="1:18" x14ac:dyDescent="0.25">
      <c r="A19" t="s">
        <v>15</v>
      </c>
      <c r="B19" t="s">
        <v>65</v>
      </c>
      <c r="C19" t="s">
        <v>227</v>
      </c>
      <c r="D19" t="s">
        <v>18</v>
      </c>
      <c r="E19" t="s">
        <v>288</v>
      </c>
      <c r="F19" t="s">
        <v>255</v>
      </c>
      <c r="G19" t="s">
        <v>289</v>
      </c>
      <c r="H19" t="s">
        <v>290</v>
      </c>
      <c r="I19" t="s">
        <v>290</v>
      </c>
      <c r="J19" t="s">
        <v>290</v>
      </c>
      <c r="K19" t="s">
        <v>291</v>
      </c>
      <c r="L19" t="s">
        <v>292</v>
      </c>
      <c r="M19">
        <f t="shared" si="0"/>
        <v>20</v>
      </c>
      <c r="N19" t="s">
        <v>25</v>
      </c>
      <c r="O19" t="s">
        <v>293</v>
      </c>
      <c r="P19" t="s">
        <v>294</v>
      </c>
      <c r="Q19">
        <f t="shared" si="1"/>
        <v>16.95</v>
      </c>
      <c r="R19">
        <v>16.95</v>
      </c>
    </row>
    <row r="20" spans="1:18" x14ac:dyDescent="0.25">
      <c r="A20" t="s">
        <v>15</v>
      </c>
      <c r="B20" t="s">
        <v>65</v>
      </c>
      <c r="C20" t="s">
        <v>85</v>
      </c>
      <c r="D20" t="s">
        <v>18</v>
      </c>
      <c r="E20" t="s">
        <v>331</v>
      </c>
      <c r="F20" t="s">
        <v>332</v>
      </c>
      <c r="G20" t="s">
        <v>333</v>
      </c>
      <c r="H20" t="s">
        <v>334</v>
      </c>
      <c r="I20" t="s">
        <v>334</v>
      </c>
      <c r="J20" t="s">
        <v>334</v>
      </c>
      <c r="K20" t="s">
        <v>335</v>
      </c>
      <c r="L20" t="s">
        <v>336</v>
      </c>
      <c r="M20">
        <f t="shared" si="0"/>
        <v>380</v>
      </c>
      <c r="N20" t="s">
        <v>25</v>
      </c>
      <c r="O20" t="s">
        <v>337</v>
      </c>
      <c r="P20" t="s">
        <v>338</v>
      </c>
      <c r="Q20">
        <f t="shared" si="1"/>
        <v>322.02999999999997</v>
      </c>
      <c r="R20">
        <v>322.02999999999997</v>
      </c>
    </row>
    <row r="21" spans="1:18" x14ac:dyDescent="0.25">
      <c r="A21" t="s">
        <v>15</v>
      </c>
      <c r="B21" t="s">
        <v>65</v>
      </c>
      <c r="C21" t="s">
        <v>339</v>
      </c>
      <c r="D21" t="s">
        <v>18</v>
      </c>
      <c r="E21" t="s">
        <v>340</v>
      </c>
      <c r="F21" t="s">
        <v>341</v>
      </c>
      <c r="G21" t="s">
        <v>342</v>
      </c>
      <c r="H21" t="s">
        <v>343</v>
      </c>
      <c r="I21" t="s">
        <v>343</v>
      </c>
      <c r="J21" t="s">
        <v>343</v>
      </c>
      <c r="K21" t="s">
        <v>344</v>
      </c>
      <c r="L21" t="s">
        <v>345</v>
      </c>
      <c r="M21">
        <f t="shared" si="0"/>
        <v>605.23</v>
      </c>
      <c r="N21" t="s">
        <v>25</v>
      </c>
      <c r="O21" t="s">
        <v>346</v>
      </c>
      <c r="P21" t="s">
        <v>347</v>
      </c>
      <c r="Q21">
        <f t="shared" si="1"/>
        <v>512.91</v>
      </c>
      <c r="R21">
        <v>512.91</v>
      </c>
    </row>
    <row r="22" spans="1:18" x14ac:dyDescent="0.25">
      <c r="A22" t="s">
        <v>15</v>
      </c>
      <c r="B22" t="s">
        <v>65</v>
      </c>
      <c r="C22" t="s">
        <v>359</v>
      </c>
      <c r="D22" t="s">
        <v>18</v>
      </c>
      <c r="E22" t="s">
        <v>360</v>
      </c>
      <c r="F22" t="s">
        <v>361</v>
      </c>
      <c r="G22" t="s">
        <v>362</v>
      </c>
      <c r="H22" t="s">
        <v>363</v>
      </c>
      <c r="I22" t="s">
        <v>363</v>
      </c>
      <c r="J22" t="s">
        <v>363</v>
      </c>
      <c r="K22" t="s">
        <v>364</v>
      </c>
      <c r="L22" t="s">
        <v>365</v>
      </c>
      <c r="M22">
        <f t="shared" si="0"/>
        <v>850.01</v>
      </c>
      <c r="N22" t="s">
        <v>25</v>
      </c>
      <c r="O22" t="s">
        <v>366</v>
      </c>
      <c r="P22" t="s">
        <v>367</v>
      </c>
      <c r="Q22">
        <f t="shared" si="1"/>
        <v>720.35</v>
      </c>
      <c r="R22">
        <v>720.35</v>
      </c>
    </row>
    <row r="23" spans="1:18" x14ac:dyDescent="0.25">
      <c r="A23" t="s">
        <v>15</v>
      </c>
      <c r="B23" t="s">
        <v>65</v>
      </c>
      <c r="C23" t="s">
        <v>227</v>
      </c>
      <c r="D23" t="s">
        <v>18</v>
      </c>
      <c r="E23" t="s">
        <v>368</v>
      </c>
      <c r="F23" t="s">
        <v>369</v>
      </c>
      <c r="G23" t="s">
        <v>370</v>
      </c>
      <c r="H23" t="s">
        <v>371</v>
      </c>
      <c r="I23" t="s">
        <v>371</v>
      </c>
      <c r="J23" t="s">
        <v>371</v>
      </c>
      <c r="K23" t="s">
        <v>372</v>
      </c>
      <c r="L23" t="s">
        <v>373</v>
      </c>
      <c r="M23">
        <f t="shared" si="0"/>
        <v>275</v>
      </c>
      <c r="N23" t="s">
        <v>25</v>
      </c>
      <c r="O23" t="s">
        <v>374</v>
      </c>
      <c r="P23" t="s">
        <v>375</v>
      </c>
      <c r="Q23">
        <f t="shared" si="1"/>
        <v>233.05</v>
      </c>
      <c r="R23">
        <v>233.05</v>
      </c>
    </row>
    <row r="24" spans="1:18" x14ac:dyDescent="0.25">
      <c r="A24" t="s">
        <v>15</v>
      </c>
      <c r="B24" t="s">
        <v>65</v>
      </c>
      <c r="C24" t="s">
        <v>376</v>
      </c>
      <c r="D24" t="s">
        <v>18</v>
      </c>
      <c r="E24" t="s">
        <v>377</v>
      </c>
      <c r="G24" t="s">
        <v>378</v>
      </c>
      <c r="H24" t="s">
        <v>379</v>
      </c>
      <c r="I24" t="s">
        <v>379</v>
      </c>
      <c r="J24" t="s">
        <v>379</v>
      </c>
      <c r="K24" t="s">
        <v>380</v>
      </c>
      <c r="L24" t="s">
        <v>381</v>
      </c>
      <c r="M24">
        <f t="shared" si="0"/>
        <v>2177.1</v>
      </c>
      <c r="N24" t="s">
        <v>48</v>
      </c>
      <c r="O24" t="s">
        <v>382</v>
      </c>
      <c r="P24" t="s">
        <v>383</v>
      </c>
      <c r="Q24">
        <f t="shared" si="1"/>
        <v>6715.8</v>
      </c>
      <c r="R24">
        <v>6715.8</v>
      </c>
    </row>
    <row r="25" spans="1:18" x14ac:dyDescent="0.25">
      <c r="A25" t="s">
        <v>15</v>
      </c>
      <c r="B25" t="s">
        <v>65</v>
      </c>
      <c r="C25" t="s">
        <v>461</v>
      </c>
      <c r="D25" t="s">
        <v>18</v>
      </c>
      <c r="E25" t="s">
        <v>462</v>
      </c>
      <c r="F25" t="s">
        <v>463</v>
      </c>
      <c r="G25" t="s">
        <v>464</v>
      </c>
      <c r="H25" t="s">
        <v>465</v>
      </c>
      <c r="I25" t="s">
        <v>465</v>
      </c>
      <c r="J25" t="s">
        <v>465</v>
      </c>
      <c r="K25" t="s">
        <v>466</v>
      </c>
      <c r="L25" t="s">
        <v>467</v>
      </c>
      <c r="M25">
        <f t="shared" si="0"/>
        <v>135</v>
      </c>
      <c r="N25" t="s">
        <v>25</v>
      </c>
      <c r="O25" t="s">
        <v>468</v>
      </c>
      <c r="P25" t="s">
        <v>469</v>
      </c>
      <c r="Q25">
        <f t="shared" si="1"/>
        <v>114.41</v>
      </c>
      <c r="R25">
        <v>114.41</v>
      </c>
    </row>
    <row r="26" spans="1:18" x14ac:dyDescent="0.25">
      <c r="A26" t="s">
        <v>15</v>
      </c>
      <c r="B26" t="s">
        <v>65</v>
      </c>
      <c r="C26" t="s">
        <v>191</v>
      </c>
      <c r="D26" t="s">
        <v>18</v>
      </c>
      <c r="E26" t="s">
        <v>470</v>
      </c>
      <c r="F26" t="s">
        <v>471</v>
      </c>
      <c r="G26" t="s">
        <v>472</v>
      </c>
      <c r="H26" t="s">
        <v>473</v>
      </c>
      <c r="I26" t="s">
        <v>473</v>
      </c>
      <c r="J26" t="s">
        <v>474</v>
      </c>
      <c r="K26" t="s">
        <v>475</v>
      </c>
      <c r="L26" t="s">
        <v>476</v>
      </c>
      <c r="M26">
        <f t="shared" si="0"/>
        <v>33.630000000000003</v>
      </c>
      <c r="N26" t="s">
        <v>48</v>
      </c>
      <c r="O26" t="s">
        <v>477</v>
      </c>
      <c r="P26" t="s">
        <v>478</v>
      </c>
      <c r="Q26">
        <f t="shared" si="1"/>
        <v>103.74000000000001</v>
      </c>
      <c r="R26">
        <v>103.74000000000001</v>
      </c>
    </row>
    <row r="27" spans="1:18" x14ac:dyDescent="0.25">
      <c r="A27" t="s">
        <v>15</v>
      </c>
      <c r="B27" t="s">
        <v>65</v>
      </c>
      <c r="C27" t="s">
        <v>533</v>
      </c>
      <c r="D27" t="s">
        <v>18</v>
      </c>
      <c r="E27" t="s">
        <v>534</v>
      </c>
      <c r="F27" t="s">
        <v>535</v>
      </c>
      <c r="G27" t="s">
        <v>536</v>
      </c>
      <c r="H27" t="s">
        <v>537</v>
      </c>
      <c r="I27" t="s">
        <v>537</v>
      </c>
      <c r="J27" t="s">
        <v>537</v>
      </c>
      <c r="K27" t="s">
        <v>538</v>
      </c>
      <c r="L27" t="s">
        <v>539</v>
      </c>
      <c r="M27">
        <f t="shared" si="0"/>
        <v>460</v>
      </c>
      <c r="N27" t="s">
        <v>25</v>
      </c>
      <c r="O27" t="s">
        <v>540</v>
      </c>
      <c r="P27" t="s">
        <v>541</v>
      </c>
      <c r="Q27">
        <f t="shared" si="1"/>
        <v>389.83</v>
      </c>
      <c r="R27">
        <v>389.83</v>
      </c>
    </row>
    <row r="28" spans="1:18" x14ac:dyDescent="0.25">
      <c r="A28" t="s">
        <v>15</v>
      </c>
      <c r="B28" t="s">
        <v>65</v>
      </c>
      <c r="C28" t="s">
        <v>533</v>
      </c>
      <c r="D28" t="s">
        <v>18</v>
      </c>
      <c r="E28" t="s">
        <v>542</v>
      </c>
      <c r="F28" t="s">
        <v>543</v>
      </c>
      <c r="G28" t="s">
        <v>544</v>
      </c>
      <c r="H28" t="s">
        <v>545</v>
      </c>
      <c r="I28" t="s">
        <v>545</v>
      </c>
      <c r="J28" t="s">
        <v>545</v>
      </c>
      <c r="K28" t="s">
        <v>546</v>
      </c>
      <c r="L28" t="s">
        <v>547</v>
      </c>
      <c r="M28">
        <f t="shared" si="0"/>
        <v>690</v>
      </c>
      <c r="N28" t="s">
        <v>25</v>
      </c>
      <c r="O28" t="s">
        <v>548</v>
      </c>
      <c r="P28" t="s">
        <v>549</v>
      </c>
      <c r="Q28">
        <f t="shared" si="1"/>
        <v>584.75</v>
      </c>
      <c r="R28">
        <v>584.75</v>
      </c>
    </row>
    <row r="29" spans="1:18" x14ac:dyDescent="0.25">
      <c r="A29" t="s">
        <v>15</v>
      </c>
      <c r="B29" t="s">
        <v>65</v>
      </c>
      <c r="C29" t="s">
        <v>550</v>
      </c>
      <c r="D29" t="s">
        <v>18</v>
      </c>
      <c r="E29" t="s">
        <v>551</v>
      </c>
      <c r="F29" t="s">
        <v>552</v>
      </c>
      <c r="G29" t="s">
        <v>553</v>
      </c>
      <c r="H29" t="s">
        <v>554</v>
      </c>
      <c r="I29" t="s">
        <v>554</v>
      </c>
      <c r="J29" t="s">
        <v>554</v>
      </c>
      <c r="K29" t="s">
        <v>555</v>
      </c>
      <c r="L29" t="s">
        <v>556</v>
      </c>
      <c r="M29">
        <f t="shared" si="0"/>
        <v>2407.1999999999998</v>
      </c>
      <c r="N29" t="s">
        <v>48</v>
      </c>
      <c r="O29" t="s">
        <v>557</v>
      </c>
      <c r="P29" t="s">
        <v>558</v>
      </c>
      <c r="Q29">
        <f t="shared" si="1"/>
        <v>7425.6</v>
      </c>
      <c r="R29">
        <v>7425.6</v>
      </c>
    </row>
    <row r="30" spans="1:18" x14ac:dyDescent="0.25">
      <c r="A30" t="s">
        <v>15</v>
      </c>
      <c r="B30" t="s">
        <v>65</v>
      </c>
      <c r="C30" t="s">
        <v>559</v>
      </c>
      <c r="D30" t="s">
        <v>18</v>
      </c>
      <c r="E30" t="s">
        <v>560</v>
      </c>
      <c r="F30" t="s">
        <v>561</v>
      </c>
      <c r="G30" t="s">
        <v>562</v>
      </c>
      <c r="H30" t="s">
        <v>563</v>
      </c>
      <c r="I30" t="s">
        <v>563</v>
      </c>
      <c r="J30" t="s">
        <v>563</v>
      </c>
      <c r="K30" t="s">
        <v>564</v>
      </c>
      <c r="L30" t="s">
        <v>565</v>
      </c>
      <c r="M30">
        <f t="shared" si="0"/>
        <v>634.84</v>
      </c>
      <c r="N30" t="s">
        <v>48</v>
      </c>
      <c r="O30" t="s">
        <v>566</v>
      </c>
      <c r="P30" t="s">
        <v>567</v>
      </c>
      <c r="Q30">
        <f t="shared" si="1"/>
        <v>1958.3200000000002</v>
      </c>
      <c r="R30">
        <v>1958.3200000000002</v>
      </c>
    </row>
    <row r="31" spans="1:18" x14ac:dyDescent="0.25">
      <c r="A31" t="s">
        <v>15</v>
      </c>
      <c r="B31" t="s">
        <v>65</v>
      </c>
      <c r="C31" t="s">
        <v>227</v>
      </c>
      <c r="D31" t="s">
        <v>18</v>
      </c>
      <c r="E31" t="s">
        <v>609</v>
      </c>
      <c r="F31" t="s">
        <v>610</v>
      </c>
      <c r="G31" t="s">
        <v>611</v>
      </c>
      <c r="H31" t="s">
        <v>612</v>
      </c>
      <c r="I31" t="s">
        <v>612</v>
      </c>
      <c r="J31" t="s">
        <v>612</v>
      </c>
      <c r="K31" t="s">
        <v>613</v>
      </c>
      <c r="L31" t="s">
        <v>614</v>
      </c>
      <c r="M31">
        <f t="shared" si="0"/>
        <v>839.98</v>
      </c>
      <c r="N31" t="s">
        <v>25</v>
      </c>
      <c r="O31" t="s">
        <v>615</v>
      </c>
      <c r="P31" t="s">
        <v>616</v>
      </c>
      <c r="Q31">
        <f t="shared" si="1"/>
        <v>711.85</v>
      </c>
      <c r="R31">
        <v>711.85</v>
      </c>
    </row>
    <row r="32" spans="1:18" x14ac:dyDescent="0.25">
      <c r="A32" t="s">
        <v>15</v>
      </c>
      <c r="B32" t="s">
        <v>65</v>
      </c>
      <c r="C32" t="s">
        <v>139</v>
      </c>
      <c r="D32" t="s">
        <v>18</v>
      </c>
      <c r="E32" t="s">
        <v>617</v>
      </c>
      <c r="F32" t="s">
        <v>618</v>
      </c>
      <c r="G32" t="s">
        <v>619</v>
      </c>
      <c r="H32" t="s">
        <v>620</v>
      </c>
      <c r="I32" t="s">
        <v>620</v>
      </c>
      <c r="J32" t="s">
        <v>620</v>
      </c>
      <c r="K32" t="s">
        <v>621</v>
      </c>
      <c r="L32" t="s">
        <v>622</v>
      </c>
      <c r="M32">
        <f t="shared" si="0"/>
        <v>719.61</v>
      </c>
      <c r="N32" t="s">
        <v>25</v>
      </c>
      <c r="O32" t="s">
        <v>623</v>
      </c>
      <c r="P32" t="s">
        <v>624</v>
      </c>
      <c r="Q32">
        <f t="shared" si="1"/>
        <v>609.84</v>
      </c>
      <c r="R32">
        <v>609.84</v>
      </c>
    </row>
    <row r="33" spans="1:18" x14ac:dyDescent="0.25">
      <c r="A33" t="s">
        <v>15</v>
      </c>
      <c r="B33" t="s">
        <v>65</v>
      </c>
      <c r="C33" t="s">
        <v>625</v>
      </c>
      <c r="D33" t="s">
        <v>18</v>
      </c>
      <c r="E33" t="s">
        <v>626</v>
      </c>
      <c r="F33" t="s">
        <v>627</v>
      </c>
      <c r="G33" t="s">
        <v>628</v>
      </c>
      <c r="H33" t="s">
        <v>629</v>
      </c>
      <c r="I33" t="s">
        <v>629</v>
      </c>
      <c r="J33" t="s">
        <v>629</v>
      </c>
      <c r="K33" t="s">
        <v>630</v>
      </c>
      <c r="L33" t="s">
        <v>631</v>
      </c>
      <c r="M33">
        <f t="shared" si="0"/>
        <v>1215.4000000000001</v>
      </c>
      <c r="N33" t="s">
        <v>48</v>
      </c>
      <c r="O33" t="s">
        <v>632</v>
      </c>
      <c r="P33" t="s">
        <v>633</v>
      </c>
      <c r="Q33">
        <f t="shared" si="1"/>
        <v>3749.2000000000003</v>
      </c>
      <c r="R33">
        <v>3749.2000000000003</v>
      </c>
    </row>
    <row r="34" spans="1:18" x14ac:dyDescent="0.25">
      <c r="A34" t="s">
        <v>15</v>
      </c>
      <c r="B34" t="s">
        <v>65</v>
      </c>
      <c r="C34" t="s">
        <v>634</v>
      </c>
      <c r="D34" t="s">
        <v>18</v>
      </c>
      <c r="E34" t="s">
        <v>635</v>
      </c>
      <c r="F34" t="s">
        <v>636</v>
      </c>
      <c r="G34" t="s">
        <v>637</v>
      </c>
      <c r="H34" t="s">
        <v>638</v>
      </c>
      <c r="I34" t="s">
        <v>638</v>
      </c>
      <c r="J34" t="s">
        <v>638</v>
      </c>
      <c r="K34" t="s">
        <v>639</v>
      </c>
      <c r="L34" t="s">
        <v>640</v>
      </c>
      <c r="M34">
        <f t="shared" si="0"/>
        <v>460.73</v>
      </c>
      <c r="N34" t="s">
        <v>48</v>
      </c>
      <c r="O34" t="s">
        <v>641</v>
      </c>
      <c r="P34" t="s">
        <v>642</v>
      </c>
      <c r="Q34">
        <f t="shared" si="1"/>
        <v>1421.2380000000001</v>
      </c>
      <c r="R34">
        <v>1421.2380000000001</v>
      </c>
    </row>
    <row r="35" spans="1:18" x14ac:dyDescent="0.25">
      <c r="A35" t="s">
        <v>15</v>
      </c>
      <c r="B35" t="s">
        <v>65</v>
      </c>
      <c r="C35" t="s">
        <v>533</v>
      </c>
      <c r="D35" t="s">
        <v>18</v>
      </c>
      <c r="E35" t="s">
        <v>650</v>
      </c>
      <c r="F35" t="s">
        <v>651</v>
      </c>
      <c r="G35" t="s">
        <v>652</v>
      </c>
      <c r="H35" t="s">
        <v>653</v>
      </c>
      <c r="I35" t="s">
        <v>653</v>
      </c>
      <c r="J35" t="s">
        <v>653</v>
      </c>
      <c r="K35" t="s">
        <v>654</v>
      </c>
      <c r="L35" t="s">
        <v>655</v>
      </c>
      <c r="M35">
        <f t="shared" si="0"/>
        <v>230</v>
      </c>
      <c r="N35" t="s">
        <v>25</v>
      </c>
      <c r="O35" t="s">
        <v>656</v>
      </c>
      <c r="P35" t="s">
        <v>657</v>
      </c>
      <c r="Q35">
        <f t="shared" si="1"/>
        <v>194.92</v>
      </c>
      <c r="R35">
        <v>194.92</v>
      </c>
    </row>
    <row r="36" spans="1:18" x14ac:dyDescent="0.25">
      <c r="A36" t="s">
        <v>15</v>
      </c>
      <c r="B36" t="s">
        <v>65</v>
      </c>
      <c r="C36" t="s">
        <v>676</v>
      </c>
      <c r="D36" t="s">
        <v>18</v>
      </c>
      <c r="E36" t="s">
        <v>677</v>
      </c>
      <c r="F36" t="s">
        <v>678</v>
      </c>
      <c r="G36" t="s">
        <v>679</v>
      </c>
      <c r="H36" t="s">
        <v>680</v>
      </c>
      <c r="I36" t="s">
        <v>680</v>
      </c>
      <c r="J36" t="s">
        <v>680</v>
      </c>
      <c r="K36" t="s">
        <v>681</v>
      </c>
      <c r="L36" t="s">
        <v>24</v>
      </c>
      <c r="M36">
        <f t="shared" si="0"/>
        <v>11.15</v>
      </c>
      <c r="N36" t="s">
        <v>48</v>
      </c>
      <c r="O36" t="s">
        <v>682</v>
      </c>
      <c r="P36" t="s">
        <v>683</v>
      </c>
      <c r="Q36">
        <f t="shared" si="1"/>
        <v>40.586000000000006</v>
      </c>
      <c r="R36">
        <v>40.586000000000006</v>
      </c>
    </row>
    <row r="37" spans="1:18" x14ac:dyDescent="0.25">
      <c r="A37" t="s">
        <v>15</v>
      </c>
      <c r="B37" t="s">
        <v>65</v>
      </c>
      <c r="C37" t="s">
        <v>227</v>
      </c>
      <c r="D37" t="s">
        <v>18</v>
      </c>
      <c r="E37" t="s">
        <v>693</v>
      </c>
      <c r="F37" t="s">
        <v>694</v>
      </c>
      <c r="G37" t="s">
        <v>695</v>
      </c>
      <c r="H37" t="s">
        <v>696</v>
      </c>
      <c r="I37" t="s">
        <v>696</v>
      </c>
      <c r="J37" t="s">
        <v>696</v>
      </c>
      <c r="K37" t="s">
        <v>697</v>
      </c>
      <c r="L37" t="s">
        <v>698</v>
      </c>
      <c r="M37">
        <f t="shared" si="0"/>
        <v>840</v>
      </c>
      <c r="N37" t="s">
        <v>25</v>
      </c>
      <c r="O37" t="s">
        <v>699</v>
      </c>
      <c r="P37" t="s">
        <v>700</v>
      </c>
      <c r="Q37">
        <f t="shared" si="1"/>
        <v>711.86</v>
      </c>
      <c r="R37">
        <v>711.86</v>
      </c>
    </row>
    <row r="38" spans="1:18" x14ac:dyDescent="0.25">
      <c r="A38" t="s">
        <v>15</v>
      </c>
      <c r="B38" t="s">
        <v>65</v>
      </c>
      <c r="C38" t="s">
        <v>139</v>
      </c>
      <c r="D38" t="s">
        <v>18</v>
      </c>
      <c r="E38" t="s">
        <v>701</v>
      </c>
      <c r="F38" t="s">
        <v>702</v>
      </c>
      <c r="G38" t="s">
        <v>703</v>
      </c>
      <c r="H38" t="s">
        <v>704</v>
      </c>
      <c r="I38" t="s">
        <v>704</v>
      </c>
      <c r="J38" t="s">
        <v>704</v>
      </c>
      <c r="K38" t="s">
        <v>705</v>
      </c>
      <c r="L38" t="s">
        <v>706</v>
      </c>
      <c r="M38">
        <f t="shared" si="0"/>
        <v>1055.42</v>
      </c>
      <c r="N38" t="s">
        <v>25</v>
      </c>
      <c r="O38" t="s">
        <v>707</v>
      </c>
      <c r="P38" t="s">
        <v>708</v>
      </c>
      <c r="Q38">
        <f t="shared" si="1"/>
        <v>894.42</v>
      </c>
      <c r="R38">
        <v>894.42</v>
      </c>
    </row>
    <row r="39" spans="1:18" x14ac:dyDescent="0.25">
      <c r="A39" t="s">
        <v>15</v>
      </c>
      <c r="B39" t="s">
        <v>65</v>
      </c>
      <c r="C39" t="s">
        <v>709</v>
      </c>
      <c r="D39" t="s">
        <v>18</v>
      </c>
      <c r="E39" t="s">
        <v>710</v>
      </c>
      <c r="F39" t="s">
        <v>711</v>
      </c>
      <c r="G39" t="s">
        <v>712</v>
      </c>
      <c r="H39" t="s">
        <v>713</v>
      </c>
      <c r="I39" t="s">
        <v>713</v>
      </c>
      <c r="J39" t="s">
        <v>713</v>
      </c>
      <c r="K39" t="s">
        <v>714</v>
      </c>
      <c r="L39" t="s">
        <v>715</v>
      </c>
      <c r="M39">
        <f t="shared" si="0"/>
        <v>58</v>
      </c>
      <c r="N39" t="s">
        <v>25</v>
      </c>
      <c r="O39" t="s">
        <v>716</v>
      </c>
      <c r="P39" t="s">
        <v>717</v>
      </c>
      <c r="Q39">
        <f t="shared" si="1"/>
        <v>49.15</v>
      </c>
      <c r="R39">
        <v>49.15</v>
      </c>
    </row>
    <row r="40" spans="1:18" x14ac:dyDescent="0.25">
      <c r="A40" t="s">
        <v>15</v>
      </c>
      <c r="B40" t="s">
        <v>65</v>
      </c>
      <c r="C40" t="s">
        <v>676</v>
      </c>
      <c r="D40" t="s">
        <v>18</v>
      </c>
      <c r="E40" t="s">
        <v>767</v>
      </c>
      <c r="F40" t="s">
        <v>768</v>
      </c>
      <c r="G40" t="s">
        <v>769</v>
      </c>
      <c r="H40" t="s">
        <v>770</v>
      </c>
      <c r="I40" t="s">
        <v>770</v>
      </c>
      <c r="J40" t="s">
        <v>770</v>
      </c>
      <c r="K40" t="s">
        <v>771</v>
      </c>
      <c r="L40" t="s">
        <v>24</v>
      </c>
      <c r="M40">
        <f t="shared" si="0"/>
        <v>89.75</v>
      </c>
      <c r="N40" t="s">
        <v>48</v>
      </c>
      <c r="O40" t="s">
        <v>772</v>
      </c>
      <c r="P40" t="s">
        <v>773</v>
      </c>
      <c r="Q40">
        <f t="shared" si="1"/>
        <v>326.69</v>
      </c>
      <c r="R40">
        <v>326.69</v>
      </c>
    </row>
    <row r="41" spans="1:18" x14ac:dyDescent="0.25">
      <c r="A41" t="s">
        <v>15</v>
      </c>
      <c r="B41" t="s">
        <v>65</v>
      </c>
      <c r="C41" t="s">
        <v>103</v>
      </c>
      <c r="D41" t="s">
        <v>18</v>
      </c>
      <c r="E41" t="s">
        <v>18</v>
      </c>
      <c r="F41" t="s">
        <v>904</v>
      </c>
      <c r="G41" t="s">
        <v>905</v>
      </c>
      <c r="H41" t="s">
        <v>906</v>
      </c>
      <c r="I41" t="s">
        <v>907</v>
      </c>
      <c r="J41" t="s">
        <v>907</v>
      </c>
      <c r="K41" t="s">
        <v>908</v>
      </c>
      <c r="L41" t="s">
        <v>909</v>
      </c>
      <c r="M41">
        <f t="shared" si="0"/>
        <v>36.31</v>
      </c>
      <c r="N41" t="s">
        <v>25</v>
      </c>
      <c r="O41" t="s">
        <v>910</v>
      </c>
      <c r="P41" t="s">
        <v>911</v>
      </c>
      <c r="Q41">
        <f t="shared" si="1"/>
        <v>31.5</v>
      </c>
      <c r="R41">
        <v>31.5</v>
      </c>
    </row>
    <row r="42" spans="1:18" x14ac:dyDescent="0.25">
      <c r="Q42">
        <f>SUM(Q2:Q41)</f>
        <v>35361.574000000001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3ECF-E990-4431-97A3-BEFA525B6701}">
  <dimension ref="A1:W898"/>
  <sheetViews>
    <sheetView tabSelected="1" topLeftCell="G1" workbookViewId="0">
      <selection activeCell="T2" sqref="T2"/>
    </sheetView>
  </sheetViews>
  <sheetFormatPr baseColWidth="10" defaultRowHeight="15.75" x14ac:dyDescent="0.25"/>
  <cols>
    <col min="8" max="8" width="17.75" bestFit="1" customWidth="1"/>
    <col min="19" max="19" width="16.25" bestFit="1" customWidth="1"/>
    <col min="20" max="20" width="16.25" customWidth="1"/>
  </cols>
  <sheetData>
    <row r="1" spans="1:23" x14ac:dyDescent="0.25">
      <c r="A1" s="1" t="s">
        <v>920</v>
      </c>
      <c r="B1" s="1" t="s">
        <v>921</v>
      </c>
      <c r="C1" s="1" t="s">
        <v>65</v>
      </c>
      <c r="D1" s="1" t="s">
        <v>922</v>
      </c>
      <c r="E1" s="1" t="s">
        <v>923</v>
      </c>
      <c r="F1" s="1" t="s">
        <v>924</v>
      </c>
      <c r="G1" s="1" t="s">
        <v>925</v>
      </c>
      <c r="H1" s="1" t="s">
        <v>926</v>
      </c>
      <c r="I1" s="1" t="s">
        <v>927</v>
      </c>
      <c r="J1" s="1" t="s">
        <v>928</v>
      </c>
      <c r="K1" s="1" t="s">
        <v>929</v>
      </c>
      <c r="L1" s="1" t="s">
        <v>930</v>
      </c>
      <c r="M1" s="1" t="s">
        <v>931</v>
      </c>
      <c r="N1" s="1" t="s">
        <v>932</v>
      </c>
      <c r="O1" s="1" t="s">
        <v>933</v>
      </c>
      <c r="P1" s="1" t="s">
        <v>934</v>
      </c>
      <c r="Q1" s="1" t="s">
        <v>14</v>
      </c>
      <c r="R1" s="1" t="s">
        <v>975</v>
      </c>
      <c r="S1" s="1" t="s">
        <v>982</v>
      </c>
      <c r="T1" s="1" t="s">
        <v>983</v>
      </c>
      <c r="U1" s="3" t="s">
        <v>979</v>
      </c>
      <c r="V1" s="3" t="s">
        <v>981</v>
      </c>
      <c r="W1" t="s">
        <v>980</v>
      </c>
    </row>
    <row r="2" spans="1:23" x14ac:dyDescent="0.25">
      <c r="A2" s="1">
        <v>0</v>
      </c>
      <c r="B2" s="1">
        <v>1</v>
      </c>
      <c r="C2" s="1">
        <v>2098</v>
      </c>
      <c r="D2" s="1" t="s">
        <v>935</v>
      </c>
      <c r="E2" s="1">
        <v>3164</v>
      </c>
      <c r="F2" s="1" t="s">
        <v>68</v>
      </c>
      <c r="G2" s="1" t="s">
        <v>69</v>
      </c>
      <c r="H2" s="2">
        <v>45917.390972222223</v>
      </c>
      <c r="I2" s="2">
        <v>45896.456944444442</v>
      </c>
      <c r="J2" s="2">
        <v>45896.456944444442</v>
      </c>
      <c r="K2" s="1">
        <v>44.07</v>
      </c>
      <c r="L2" s="1">
        <v>7.93</v>
      </c>
      <c r="M2" s="1" t="s">
        <v>25</v>
      </c>
      <c r="N2" s="1" t="s">
        <v>935</v>
      </c>
      <c r="O2" s="1" t="s">
        <v>74</v>
      </c>
      <c r="P2" s="1" t="s">
        <v>936</v>
      </c>
      <c r="Q2" s="1">
        <v>622</v>
      </c>
      <c r="R2" s="1">
        <v>52</v>
      </c>
      <c r="S2" s="1">
        <f>IF(M2="PEN",K2,K2*3.64)</f>
        <v>44.07</v>
      </c>
      <c r="T2" s="1">
        <v>44.07</v>
      </c>
      <c r="V2" t="str">
        <f>IF(U2=R2,"SI","NO")</f>
        <v>NO</v>
      </c>
    </row>
    <row r="3" spans="1:23" x14ac:dyDescent="0.25">
      <c r="A3" s="1">
        <v>0</v>
      </c>
      <c r="B3" s="1">
        <v>1</v>
      </c>
      <c r="C3" s="1">
        <v>951</v>
      </c>
      <c r="D3" s="1" t="s">
        <v>935</v>
      </c>
      <c r="E3" s="1">
        <v>3175</v>
      </c>
      <c r="F3" s="1" t="s">
        <v>78</v>
      </c>
      <c r="G3" s="1" t="s">
        <v>79</v>
      </c>
      <c r="H3" s="2">
        <v>45903.762499999997</v>
      </c>
      <c r="I3" s="2">
        <v>45903.762499999997</v>
      </c>
      <c r="J3" s="2">
        <v>45903.762499999997</v>
      </c>
      <c r="K3" s="1">
        <v>729.04</v>
      </c>
      <c r="L3" s="1">
        <v>131.22</v>
      </c>
      <c r="M3" s="1" t="s">
        <v>25</v>
      </c>
      <c r="N3" s="1" t="s">
        <v>935</v>
      </c>
      <c r="O3" s="1" t="s">
        <v>83</v>
      </c>
      <c r="P3" s="1" t="s">
        <v>937</v>
      </c>
      <c r="Q3" s="1">
        <v>649</v>
      </c>
      <c r="R3" s="1">
        <v>860.26</v>
      </c>
      <c r="S3" s="1">
        <f t="shared" ref="S3:S40" si="0">IF(M3="PEN",K3,K3*3.64)</f>
        <v>729.04</v>
      </c>
      <c r="T3" s="1">
        <v>729.04</v>
      </c>
      <c r="V3" t="str">
        <f t="shared" ref="V3:V40" si="1">IF(U3=R3,"SI","NO")</f>
        <v>NO</v>
      </c>
    </row>
    <row r="4" spans="1:23" x14ac:dyDescent="0.25">
      <c r="A4" s="1">
        <v>0</v>
      </c>
      <c r="B4" s="1">
        <v>1</v>
      </c>
      <c r="C4" s="1">
        <v>1330</v>
      </c>
      <c r="D4" s="1" t="s">
        <v>935</v>
      </c>
      <c r="E4" s="1">
        <v>3176</v>
      </c>
      <c r="F4" s="1" t="s">
        <v>87</v>
      </c>
      <c r="G4" s="1" t="s">
        <v>88</v>
      </c>
      <c r="H4" s="2">
        <v>45901.492361111108</v>
      </c>
      <c r="I4" s="2">
        <v>45901.492361111108</v>
      </c>
      <c r="J4" s="2">
        <v>45901.492361111108</v>
      </c>
      <c r="K4" s="1">
        <v>50.85</v>
      </c>
      <c r="L4" s="1">
        <v>9.15</v>
      </c>
      <c r="M4" s="1" t="s">
        <v>25</v>
      </c>
      <c r="N4" s="1" t="s">
        <v>935</v>
      </c>
      <c r="O4" s="1" t="s">
        <v>92</v>
      </c>
      <c r="P4" s="1" t="s">
        <v>938</v>
      </c>
      <c r="Q4" s="1">
        <v>652</v>
      </c>
      <c r="R4" s="1">
        <v>60</v>
      </c>
      <c r="S4" s="1">
        <f t="shared" si="0"/>
        <v>50.85</v>
      </c>
      <c r="T4" s="1">
        <v>50.85</v>
      </c>
      <c r="V4" t="str">
        <f t="shared" si="1"/>
        <v>NO</v>
      </c>
    </row>
    <row r="5" spans="1:23" x14ac:dyDescent="0.25">
      <c r="A5" s="1">
        <v>0</v>
      </c>
      <c r="B5" s="1">
        <v>1</v>
      </c>
      <c r="C5" s="1">
        <v>2103</v>
      </c>
      <c r="D5" s="1" t="s">
        <v>935</v>
      </c>
      <c r="E5" s="1">
        <v>3184</v>
      </c>
      <c r="F5" s="1" t="s">
        <v>96</v>
      </c>
      <c r="G5" s="1" t="s">
        <v>97</v>
      </c>
      <c r="H5" s="2">
        <v>45902.604861111111</v>
      </c>
      <c r="I5" s="2">
        <v>45902.604861111111</v>
      </c>
      <c r="J5" s="2">
        <v>45902.604861111111</v>
      </c>
      <c r="K5" s="1">
        <v>88.96</v>
      </c>
      <c r="L5" s="1">
        <v>16.010000000000002</v>
      </c>
      <c r="M5" s="1" t="s">
        <v>25</v>
      </c>
      <c r="N5" s="1" t="s">
        <v>935</v>
      </c>
      <c r="O5" s="1" t="s">
        <v>101</v>
      </c>
      <c r="P5" s="1" t="s">
        <v>939</v>
      </c>
      <c r="Q5" s="1">
        <v>653</v>
      </c>
      <c r="R5" s="1">
        <v>104.97</v>
      </c>
      <c r="S5" s="1">
        <f t="shared" si="0"/>
        <v>88.96</v>
      </c>
      <c r="T5" s="1">
        <v>88.96</v>
      </c>
      <c r="V5" t="str">
        <f t="shared" si="1"/>
        <v>NO</v>
      </c>
    </row>
    <row r="6" spans="1:23" x14ac:dyDescent="0.25">
      <c r="A6" s="1">
        <v>0</v>
      </c>
      <c r="B6" s="1">
        <v>1</v>
      </c>
      <c r="C6" s="1">
        <v>672</v>
      </c>
      <c r="D6" s="1" t="s">
        <v>935</v>
      </c>
      <c r="E6" s="1">
        <v>3177</v>
      </c>
      <c r="F6" s="1" t="s">
        <v>105</v>
      </c>
      <c r="G6" s="1" t="s">
        <v>106</v>
      </c>
      <c r="H6" s="2">
        <v>45903.497916666667</v>
      </c>
      <c r="I6" s="2">
        <v>45903.497916666667</v>
      </c>
      <c r="J6" s="2">
        <v>45903.497916666667</v>
      </c>
      <c r="K6" s="1">
        <v>840.76</v>
      </c>
      <c r="L6" s="1">
        <v>151.34</v>
      </c>
      <c r="M6" s="1" t="s">
        <v>25</v>
      </c>
      <c r="N6" s="1" t="s">
        <v>935</v>
      </c>
      <c r="O6" s="1" t="s">
        <v>110</v>
      </c>
      <c r="P6" s="1" t="s">
        <v>940</v>
      </c>
      <c r="Q6" s="1">
        <v>663</v>
      </c>
      <c r="R6" s="1">
        <v>992.1</v>
      </c>
      <c r="S6" s="1">
        <f t="shared" si="0"/>
        <v>840.76</v>
      </c>
      <c r="T6" s="1">
        <v>840.76</v>
      </c>
      <c r="V6" t="str">
        <f t="shared" si="1"/>
        <v>NO</v>
      </c>
    </row>
    <row r="7" spans="1:23" x14ac:dyDescent="0.25">
      <c r="A7" s="1">
        <v>0</v>
      </c>
      <c r="B7" s="1">
        <v>1</v>
      </c>
      <c r="C7" s="1">
        <v>243</v>
      </c>
      <c r="D7" s="1" t="s">
        <v>935</v>
      </c>
      <c r="E7" s="1">
        <v>3186</v>
      </c>
      <c r="F7" s="1" t="s">
        <v>141</v>
      </c>
      <c r="G7" s="1" t="s">
        <v>142</v>
      </c>
      <c r="H7" s="2">
        <v>45905.662499999999</v>
      </c>
      <c r="I7" s="2">
        <v>45905.662499999999</v>
      </c>
      <c r="J7" s="2">
        <v>45905.662499999999</v>
      </c>
      <c r="K7" s="1">
        <v>894.41</v>
      </c>
      <c r="L7" s="1">
        <v>160.99</v>
      </c>
      <c r="M7" s="1" t="s">
        <v>25</v>
      </c>
      <c r="N7" s="1" t="s">
        <v>935</v>
      </c>
      <c r="O7" s="1" t="s">
        <v>146</v>
      </c>
      <c r="P7" s="1" t="s">
        <v>941</v>
      </c>
      <c r="Q7" s="1">
        <v>667</v>
      </c>
      <c r="R7" s="1">
        <v>1055.4000000000001</v>
      </c>
      <c r="S7" s="1">
        <f t="shared" si="0"/>
        <v>894.41</v>
      </c>
      <c r="T7" s="1">
        <v>894.41</v>
      </c>
      <c r="V7" t="str">
        <f t="shared" si="1"/>
        <v>NO</v>
      </c>
    </row>
    <row r="8" spans="1:23" x14ac:dyDescent="0.25">
      <c r="A8" s="1">
        <v>0</v>
      </c>
      <c r="B8" s="1">
        <v>1</v>
      </c>
      <c r="C8" s="1">
        <v>243</v>
      </c>
      <c r="D8" s="1" t="s">
        <v>935</v>
      </c>
      <c r="E8" s="1">
        <v>3188</v>
      </c>
      <c r="F8" s="1" t="s">
        <v>184</v>
      </c>
      <c r="G8" s="1" t="s">
        <v>185</v>
      </c>
      <c r="H8" s="2">
        <v>45905.513194444444</v>
      </c>
      <c r="I8" s="2">
        <v>45905.513194444444</v>
      </c>
      <c r="J8" s="2">
        <v>45905.513194444444</v>
      </c>
      <c r="K8" s="1">
        <v>596.28</v>
      </c>
      <c r="L8" s="1">
        <v>107.33</v>
      </c>
      <c r="M8" s="1" t="s">
        <v>25</v>
      </c>
      <c r="N8" s="1" t="s">
        <v>935</v>
      </c>
      <c r="O8" s="1" t="s">
        <v>189</v>
      </c>
      <c r="P8" s="1" t="s">
        <v>942</v>
      </c>
      <c r="Q8" s="1">
        <v>672</v>
      </c>
      <c r="R8" s="1">
        <v>703.61</v>
      </c>
      <c r="S8" s="1">
        <f t="shared" si="0"/>
        <v>596.28</v>
      </c>
      <c r="T8" s="1">
        <v>596.28</v>
      </c>
      <c r="V8" t="str">
        <f t="shared" si="1"/>
        <v>NO</v>
      </c>
    </row>
    <row r="9" spans="1:23" x14ac:dyDescent="0.25">
      <c r="A9" s="1">
        <v>0</v>
      </c>
      <c r="B9" s="1">
        <v>1</v>
      </c>
      <c r="C9" s="1">
        <v>1861</v>
      </c>
      <c r="D9" s="1" t="s">
        <v>935</v>
      </c>
      <c r="E9" s="1">
        <v>3190</v>
      </c>
      <c r="F9" s="1" t="s">
        <v>193</v>
      </c>
      <c r="G9" s="1" t="s">
        <v>194</v>
      </c>
      <c r="H9" s="2">
        <v>45908.49722222222</v>
      </c>
      <c r="I9" s="2">
        <v>45908.49722222222</v>
      </c>
      <c r="J9" s="2">
        <v>45908.49722222222</v>
      </c>
      <c r="K9" s="1">
        <v>85.5</v>
      </c>
      <c r="L9" s="1">
        <v>15.39</v>
      </c>
      <c r="M9" s="1" t="s">
        <v>48</v>
      </c>
      <c r="N9" s="1" t="s">
        <v>935</v>
      </c>
      <c r="O9" s="1" t="s">
        <v>198</v>
      </c>
      <c r="P9" s="1" t="s">
        <v>943</v>
      </c>
      <c r="Q9" s="1">
        <v>673</v>
      </c>
      <c r="R9" s="1">
        <v>348.07049999999998</v>
      </c>
      <c r="S9" s="1">
        <f t="shared" si="0"/>
        <v>311.22000000000003</v>
      </c>
      <c r="T9" s="1">
        <v>311.22000000000003</v>
      </c>
      <c r="V9" t="str">
        <f t="shared" si="1"/>
        <v>NO</v>
      </c>
    </row>
    <row r="10" spans="1:23" x14ac:dyDescent="0.25">
      <c r="A10" s="1">
        <v>0</v>
      </c>
      <c r="B10" s="1">
        <v>1</v>
      </c>
      <c r="C10" s="1">
        <v>1819</v>
      </c>
      <c r="D10" s="1" t="s">
        <v>935</v>
      </c>
      <c r="E10" s="1">
        <v>3192</v>
      </c>
      <c r="F10" s="1" t="s">
        <v>211</v>
      </c>
      <c r="G10" s="1" t="s">
        <v>212</v>
      </c>
      <c r="H10" s="2">
        <v>45908.54791666667</v>
      </c>
      <c r="I10" s="2">
        <v>45908.54791666667</v>
      </c>
      <c r="J10" s="2">
        <v>45908.54791666667</v>
      </c>
      <c r="K10" s="1">
        <v>43.32</v>
      </c>
      <c r="L10" s="1">
        <v>7.8</v>
      </c>
      <c r="M10" s="1" t="s">
        <v>25</v>
      </c>
      <c r="N10" s="1" t="s">
        <v>935</v>
      </c>
      <c r="O10" s="1" t="s">
        <v>216</v>
      </c>
      <c r="P10" s="1" t="s">
        <v>944</v>
      </c>
      <c r="Q10" s="1">
        <v>676</v>
      </c>
      <c r="R10" s="1">
        <v>51.12</v>
      </c>
      <c r="S10" s="1">
        <f t="shared" si="0"/>
        <v>43.32</v>
      </c>
      <c r="T10" s="1">
        <v>43.32</v>
      </c>
      <c r="V10" t="str">
        <f t="shared" si="1"/>
        <v>NO</v>
      </c>
    </row>
    <row r="11" spans="1:23" x14ac:dyDescent="0.25">
      <c r="A11" s="1">
        <v>0</v>
      </c>
      <c r="B11" s="1">
        <v>1</v>
      </c>
      <c r="C11" s="1">
        <v>958</v>
      </c>
      <c r="D11" s="1" t="s">
        <v>935</v>
      </c>
      <c r="E11" s="1">
        <v>3193</v>
      </c>
      <c r="F11" s="1" t="s">
        <v>220</v>
      </c>
      <c r="G11" s="1" t="s">
        <v>221</v>
      </c>
      <c r="H11" s="2">
        <v>45922.729861111111</v>
      </c>
      <c r="I11" s="2">
        <v>45922.729861111111</v>
      </c>
      <c r="J11" s="2">
        <v>45922.729861111111</v>
      </c>
      <c r="K11" s="1">
        <v>1071.99</v>
      </c>
      <c r="L11" s="1">
        <v>192.96</v>
      </c>
      <c r="M11" s="1" t="s">
        <v>25</v>
      </c>
      <c r="N11" s="1" t="s">
        <v>935</v>
      </c>
      <c r="O11" s="1" t="s">
        <v>225</v>
      </c>
      <c r="P11" s="1" t="s">
        <v>945</v>
      </c>
      <c r="Q11" s="1">
        <v>677</v>
      </c>
      <c r="R11" s="1">
        <v>1264.95</v>
      </c>
      <c r="S11" s="1">
        <f t="shared" si="0"/>
        <v>1071.99</v>
      </c>
      <c r="T11" s="1">
        <v>1071.99</v>
      </c>
      <c r="V11" t="str">
        <f t="shared" si="1"/>
        <v>NO</v>
      </c>
    </row>
    <row r="12" spans="1:23" x14ac:dyDescent="0.25">
      <c r="A12" s="1">
        <v>0</v>
      </c>
      <c r="B12" s="1">
        <v>1</v>
      </c>
      <c r="C12" s="1">
        <v>1903</v>
      </c>
      <c r="D12" s="1" t="s">
        <v>935</v>
      </c>
      <c r="E12" s="1">
        <v>3179</v>
      </c>
      <c r="F12" s="1" t="s">
        <v>229</v>
      </c>
      <c r="G12" s="1" t="s">
        <v>230</v>
      </c>
      <c r="H12" s="2">
        <v>45901.740277777775</v>
      </c>
      <c r="I12" s="2">
        <v>45908.740277777775</v>
      </c>
      <c r="J12" s="2">
        <v>45908.740277777775</v>
      </c>
      <c r="K12" s="1">
        <v>148.31</v>
      </c>
      <c r="L12" s="1">
        <v>26.7</v>
      </c>
      <c r="M12" s="1" t="s">
        <v>25</v>
      </c>
      <c r="N12" s="1" t="s">
        <v>935</v>
      </c>
      <c r="O12" s="1" t="s">
        <v>235</v>
      </c>
      <c r="P12" s="1" t="s">
        <v>946</v>
      </c>
      <c r="Q12" s="1">
        <v>678</v>
      </c>
      <c r="R12" s="1">
        <v>175.01</v>
      </c>
      <c r="S12" s="1">
        <f t="shared" si="0"/>
        <v>148.31</v>
      </c>
      <c r="T12" s="1">
        <v>148.31</v>
      </c>
      <c r="V12" t="str">
        <f t="shared" si="1"/>
        <v>NO</v>
      </c>
    </row>
    <row r="13" spans="1:23" x14ac:dyDescent="0.25">
      <c r="A13" s="1">
        <v>0</v>
      </c>
      <c r="B13" s="1">
        <v>1</v>
      </c>
      <c r="C13" s="1">
        <v>1903</v>
      </c>
      <c r="D13" s="1" t="s">
        <v>935</v>
      </c>
      <c r="E13" s="1">
        <v>3178</v>
      </c>
      <c r="F13" s="1" t="s">
        <v>238</v>
      </c>
      <c r="G13" s="1" t="s">
        <v>239</v>
      </c>
      <c r="H13" s="2">
        <v>45908.832638888889</v>
      </c>
      <c r="I13" s="2">
        <v>45908.832638888889</v>
      </c>
      <c r="J13" s="2">
        <v>45908.832638888889</v>
      </c>
      <c r="K13" s="1">
        <v>118.64</v>
      </c>
      <c r="L13" s="1">
        <v>21.36</v>
      </c>
      <c r="M13" s="1" t="s">
        <v>25</v>
      </c>
      <c r="N13" s="1" t="s">
        <v>935</v>
      </c>
      <c r="O13" s="1" t="s">
        <v>243</v>
      </c>
      <c r="P13" s="1" t="s">
        <v>947</v>
      </c>
      <c r="Q13" s="1">
        <v>679</v>
      </c>
      <c r="R13" s="1">
        <v>140</v>
      </c>
      <c r="S13" s="1">
        <f t="shared" si="0"/>
        <v>118.64</v>
      </c>
      <c r="T13" s="1">
        <v>118.64</v>
      </c>
      <c r="V13" t="str">
        <f t="shared" si="1"/>
        <v>NO</v>
      </c>
    </row>
    <row r="14" spans="1:23" x14ac:dyDescent="0.25">
      <c r="A14" s="1">
        <v>0</v>
      </c>
      <c r="B14" s="1">
        <v>1</v>
      </c>
      <c r="C14" s="1">
        <v>1903</v>
      </c>
      <c r="D14" s="1" t="s">
        <v>935</v>
      </c>
      <c r="E14" s="1">
        <v>3180</v>
      </c>
      <c r="F14" s="1" t="s">
        <v>246</v>
      </c>
      <c r="G14" s="1" t="s">
        <v>247</v>
      </c>
      <c r="H14" s="2">
        <v>45902.836111111108</v>
      </c>
      <c r="I14" s="2">
        <v>45908.836111111108</v>
      </c>
      <c r="J14" s="2">
        <v>45908.836111111108</v>
      </c>
      <c r="K14" s="1">
        <v>1067.76</v>
      </c>
      <c r="L14" s="1">
        <v>192.2</v>
      </c>
      <c r="M14" s="1" t="s">
        <v>25</v>
      </c>
      <c r="N14" s="1" t="s">
        <v>935</v>
      </c>
      <c r="O14" s="1" t="s">
        <v>252</v>
      </c>
      <c r="P14" s="1" t="s">
        <v>948</v>
      </c>
      <c r="Q14" s="1">
        <v>680</v>
      </c>
      <c r="R14" s="1">
        <v>1259.96</v>
      </c>
      <c r="S14" s="1">
        <f t="shared" si="0"/>
        <v>1067.76</v>
      </c>
      <c r="T14" s="1">
        <v>1067.76</v>
      </c>
      <c r="V14" t="str">
        <f t="shared" si="1"/>
        <v>NO</v>
      </c>
    </row>
    <row r="15" spans="1:23" x14ac:dyDescent="0.25">
      <c r="A15" s="1">
        <v>0</v>
      </c>
      <c r="B15" s="1">
        <v>1</v>
      </c>
      <c r="C15" s="1">
        <v>1903</v>
      </c>
      <c r="D15" s="1" t="s">
        <v>935</v>
      </c>
      <c r="E15" s="1">
        <v>3181</v>
      </c>
      <c r="F15" s="1" t="s">
        <v>255</v>
      </c>
      <c r="G15" s="1" t="s">
        <v>256</v>
      </c>
      <c r="H15" s="2">
        <v>45902.838888888888</v>
      </c>
      <c r="I15" s="2">
        <v>45908.838888888888</v>
      </c>
      <c r="J15" s="2">
        <v>45908.838888888888</v>
      </c>
      <c r="K15" s="1">
        <v>254.24</v>
      </c>
      <c r="L15" s="1">
        <v>45.76</v>
      </c>
      <c r="M15" s="1" t="s">
        <v>25</v>
      </c>
      <c r="N15" s="1" t="s">
        <v>935</v>
      </c>
      <c r="O15" s="1" t="s">
        <v>261</v>
      </c>
      <c r="P15" s="1" t="s">
        <v>949</v>
      </c>
      <c r="Q15" s="1">
        <v>681</v>
      </c>
      <c r="R15" s="1">
        <v>300</v>
      </c>
      <c r="S15" s="1">
        <f t="shared" si="0"/>
        <v>254.24</v>
      </c>
      <c r="T15" s="1">
        <v>254.24</v>
      </c>
      <c r="V15" t="str">
        <f t="shared" si="1"/>
        <v>NO</v>
      </c>
    </row>
    <row r="16" spans="1:23" x14ac:dyDescent="0.25">
      <c r="A16" s="1">
        <v>0</v>
      </c>
      <c r="B16" s="1">
        <v>1</v>
      </c>
      <c r="C16" s="1">
        <v>1903</v>
      </c>
      <c r="D16" s="1" t="s">
        <v>935</v>
      </c>
      <c r="E16" s="1">
        <v>3185</v>
      </c>
      <c r="F16" s="1" t="s">
        <v>264</v>
      </c>
      <c r="G16" s="1" t="s">
        <v>265</v>
      </c>
      <c r="H16" s="2">
        <v>45902.84652777778</v>
      </c>
      <c r="I16" s="2">
        <v>45908.84652777778</v>
      </c>
      <c r="J16" s="2">
        <v>45908.84652777778</v>
      </c>
      <c r="K16" s="1">
        <v>148.31</v>
      </c>
      <c r="L16" s="1">
        <v>26.7</v>
      </c>
      <c r="M16" s="1" t="s">
        <v>25</v>
      </c>
      <c r="N16" s="1" t="s">
        <v>935</v>
      </c>
      <c r="O16" s="1" t="s">
        <v>268</v>
      </c>
      <c r="P16" s="1" t="s">
        <v>950</v>
      </c>
      <c r="Q16" s="1">
        <v>682</v>
      </c>
      <c r="R16" s="1">
        <v>175.01</v>
      </c>
      <c r="S16" s="1">
        <f t="shared" si="0"/>
        <v>148.31</v>
      </c>
      <c r="T16" s="1">
        <v>148.31</v>
      </c>
      <c r="V16" t="str">
        <f t="shared" si="1"/>
        <v>NO</v>
      </c>
    </row>
    <row r="17" spans="1:22" x14ac:dyDescent="0.25">
      <c r="A17" s="1">
        <v>0</v>
      </c>
      <c r="B17" s="1">
        <v>1</v>
      </c>
      <c r="C17" s="1">
        <v>1903</v>
      </c>
      <c r="D17" s="1" t="s">
        <v>935</v>
      </c>
      <c r="E17" s="1">
        <v>3187</v>
      </c>
      <c r="F17" s="1" t="s">
        <v>271</v>
      </c>
      <c r="G17" s="1" t="s">
        <v>272</v>
      </c>
      <c r="H17" s="2">
        <v>45905.850694444445</v>
      </c>
      <c r="I17" s="2">
        <v>45908.850694444445</v>
      </c>
      <c r="J17" s="2">
        <v>45908.850694444445</v>
      </c>
      <c r="K17" s="1">
        <v>932.22</v>
      </c>
      <c r="L17" s="1">
        <v>167.8</v>
      </c>
      <c r="M17" s="1" t="s">
        <v>25</v>
      </c>
      <c r="N17" s="1" t="s">
        <v>935</v>
      </c>
      <c r="O17" s="1" t="s">
        <v>277</v>
      </c>
      <c r="P17" s="1" t="s">
        <v>951</v>
      </c>
      <c r="Q17" s="1">
        <v>683</v>
      </c>
      <c r="R17" s="1">
        <v>1100.02</v>
      </c>
      <c r="S17" s="1">
        <f t="shared" si="0"/>
        <v>932.22</v>
      </c>
      <c r="T17" s="1">
        <v>932.22</v>
      </c>
      <c r="V17" t="str">
        <f t="shared" si="1"/>
        <v>NO</v>
      </c>
    </row>
    <row r="18" spans="1:22" x14ac:dyDescent="0.25">
      <c r="A18" s="1">
        <v>0</v>
      </c>
      <c r="B18" s="1">
        <v>1</v>
      </c>
      <c r="C18" s="1">
        <v>1903</v>
      </c>
      <c r="D18" s="1" t="s">
        <v>935</v>
      </c>
      <c r="E18" s="1">
        <v>3189</v>
      </c>
      <c r="F18" s="1" t="s">
        <v>280</v>
      </c>
      <c r="G18" s="1" t="s">
        <v>281</v>
      </c>
      <c r="H18" s="2">
        <v>45905.855555555558</v>
      </c>
      <c r="I18" s="2">
        <v>45905.855555555558</v>
      </c>
      <c r="J18" s="2">
        <v>45908.855555555558</v>
      </c>
      <c r="K18" s="1">
        <v>182.2</v>
      </c>
      <c r="L18" s="1">
        <v>32.799999999999997</v>
      </c>
      <c r="M18" s="1" t="s">
        <v>25</v>
      </c>
      <c r="N18" s="1" t="s">
        <v>935</v>
      </c>
      <c r="O18" s="1" t="s">
        <v>286</v>
      </c>
      <c r="P18" s="1" t="s">
        <v>952</v>
      </c>
      <c r="Q18" s="1">
        <v>684</v>
      </c>
      <c r="R18" s="1">
        <v>215</v>
      </c>
      <c r="S18" s="1">
        <f t="shared" si="0"/>
        <v>182.2</v>
      </c>
      <c r="T18" s="1">
        <v>182.2</v>
      </c>
      <c r="V18" t="str">
        <f t="shared" si="1"/>
        <v>NO</v>
      </c>
    </row>
    <row r="19" spans="1:22" x14ac:dyDescent="0.25">
      <c r="A19" s="1">
        <v>0</v>
      </c>
      <c r="B19" s="1">
        <v>1</v>
      </c>
      <c r="C19" s="1">
        <v>1903</v>
      </c>
      <c r="D19" s="1" t="s">
        <v>935</v>
      </c>
      <c r="E19" s="1">
        <v>3194</v>
      </c>
      <c r="F19" s="1" t="s">
        <v>255</v>
      </c>
      <c r="G19" s="1" t="s">
        <v>289</v>
      </c>
      <c r="H19" s="2">
        <v>45908.87222222222</v>
      </c>
      <c r="I19" s="2">
        <v>45908.87222222222</v>
      </c>
      <c r="J19" s="2">
        <v>45908.87222222222</v>
      </c>
      <c r="K19" s="1">
        <v>16.95</v>
      </c>
      <c r="L19" s="1">
        <v>3.05</v>
      </c>
      <c r="M19" s="1" t="s">
        <v>25</v>
      </c>
      <c r="N19" s="1" t="s">
        <v>935</v>
      </c>
      <c r="O19" s="1" t="s">
        <v>293</v>
      </c>
      <c r="P19" s="1" t="s">
        <v>953</v>
      </c>
      <c r="Q19" s="1">
        <v>685</v>
      </c>
      <c r="R19" s="1">
        <v>20</v>
      </c>
      <c r="S19" s="1">
        <f t="shared" si="0"/>
        <v>16.95</v>
      </c>
      <c r="T19" s="1">
        <v>16.95</v>
      </c>
      <c r="V19" t="str">
        <f t="shared" si="1"/>
        <v>NO</v>
      </c>
    </row>
    <row r="20" spans="1:22" x14ac:dyDescent="0.25">
      <c r="A20" s="1">
        <v>0</v>
      </c>
      <c r="B20" s="1">
        <v>1</v>
      </c>
      <c r="C20" s="1">
        <v>1330</v>
      </c>
      <c r="D20" s="1" t="s">
        <v>935</v>
      </c>
      <c r="E20" s="1">
        <v>3195</v>
      </c>
      <c r="F20" s="1" t="s">
        <v>332</v>
      </c>
      <c r="G20" s="1" t="s">
        <v>333</v>
      </c>
      <c r="H20" s="2">
        <v>45910.600694444445</v>
      </c>
      <c r="I20" s="2">
        <v>45910.600694444445</v>
      </c>
      <c r="J20" s="2">
        <v>45910.600694444445</v>
      </c>
      <c r="K20" s="1">
        <v>322.02999999999997</v>
      </c>
      <c r="L20" s="1">
        <v>57.97</v>
      </c>
      <c r="M20" s="1" t="s">
        <v>25</v>
      </c>
      <c r="N20" s="1" t="s">
        <v>935</v>
      </c>
      <c r="O20" s="1" t="s">
        <v>337</v>
      </c>
      <c r="P20" s="1" t="s">
        <v>954</v>
      </c>
      <c r="Q20" s="1">
        <v>690</v>
      </c>
      <c r="R20" s="1">
        <v>380</v>
      </c>
      <c r="S20" s="1">
        <f t="shared" si="0"/>
        <v>322.02999999999997</v>
      </c>
      <c r="T20" s="1">
        <v>322.02999999999997</v>
      </c>
      <c r="V20" t="str">
        <f t="shared" si="1"/>
        <v>NO</v>
      </c>
    </row>
    <row r="21" spans="1:22" x14ac:dyDescent="0.25">
      <c r="A21" s="1">
        <v>0</v>
      </c>
      <c r="B21" s="1">
        <v>1</v>
      </c>
      <c r="C21" s="1">
        <v>93</v>
      </c>
      <c r="D21" s="1" t="s">
        <v>935</v>
      </c>
      <c r="E21" s="1">
        <v>3196</v>
      </c>
      <c r="F21" s="1" t="s">
        <v>341</v>
      </c>
      <c r="G21" s="1" t="s">
        <v>342</v>
      </c>
      <c r="H21" s="2">
        <v>45909.629166666666</v>
      </c>
      <c r="I21" s="2">
        <v>45909.629166666666</v>
      </c>
      <c r="J21" s="2">
        <v>45909.629166666666</v>
      </c>
      <c r="K21" s="1">
        <v>512.91</v>
      </c>
      <c r="L21" s="1">
        <v>92.32</v>
      </c>
      <c r="M21" s="1" t="s">
        <v>25</v>
      </c>
      <c r="N21" s="1" t="s">
        <v>935</v>
      </c>
      <c r="O21" s="1" t="s">
        <v>346</v>
      </c>
      <c r="P21" s="1" t="s">
        <v>955</v>
      </c>
      <c r="Q21" s="1">
        <v>691</v>
      </c>
      <c r="R21" s="1">
        <v>605.23</v>
      </c>
      <c r="S21" s="1">
        <f t="shared" si="0"/>
        <v>512.91</v>
      </c>
      <c r="T21" s="1">
        <v>512.91</v>
      </c>
      <c r="V21" t="str">
        <f t="shared" si="1"/>
        <v>NO</v>
      </c>
    </row>
    <row r="22" spans="1:22" x14ac:dyDescent="0.25">
      <c r="A22" s="1">
        <v>0</v>
      </c>
      <c r="B22" s="1">
        <v>1</v>
      </c>
      <c r="C22" s="1">
        <v>1194</v>
      </c>
      <c r="D22" s="1" t="s">
        <v>935</v>
      </c>
      <c r="E22" s="1">
        <v>3199</v>
      </c>
      <c r="F22" s="1" t="s">
        <v>361</v>
      </c>
      <c r="G22" s="1" t="s">
        <v>362</v>
      </c>
      <c r="H22" s="2">
        <v>45911.597916666666</v>
      </c>
      <c r="I22" s="2">
        <v>45911.597916666666</v>
      </c>
      <c r="J22" s="2">
        <v>45911.597916666666</v>
      </c>
      <c r="K22" s="1">
        <v>720.35</v>
      </c>
      <c r="L22" s="1">
        <v>129.66</v>
      </c>
      <c r="M22" s="1" t="s">
        <v>25</v>
      </c>
      <c r="N22" s="1" t="s">
        <v>935</v>
      </c>
      <c r="O22" s="1" t="s">
        <v>366</v>
      </c>
      <c r="P22" s="1" t="s">
        <v>956</v>
      </c>
      <c r="Q22" s="1">
        <v>694</v>
      </c>
      <c r="R22" s="1">
        <v>850.01</v>
      </c>
      <c r="S22" s="1">
        <f t="shared" si="0"/>
        <v>720.35</v>
      </c>
      <c r="T22" s="1">
        <v>720.35</v>
      </c>
      <c r="V22" t="str">
        <f t="shared" si="1"/>
        <v>NO</v>
      </c>
    </row>
    <row r="23" spans="1:22" x14ac:dyDescent="0.25">
      <c r="A23" s="1">
        <v>0</v>
      </c>
      <c r="B23" s="1">
        <v>1</v>
      </c>
      <c r="C23" s="1">
        <v>1903</v>
      </c>
      <c r="D23" s="1" t="s">
        <v>935</v>
      </c>
      <c r="E23" s="1">
        <v>3200</v>
      </c>
      <c r="F23" s="1" t="s">
        <v>369</v>
      </c>
      <c r="G23" s="1" t="s">
        <v>370</v>
      </c>
      <c r="H23" s="2">
        <v>45911.617361111108</v>
      </c>
      <c r="I23" s="2">
        <v>45911.617361111108</v>
      </c>
      <c r="J23" s="2">
        <v>45911.617361111108</v>
      </c>
      <c r="K23" s="1">
        <v>233.05</v>
      </c>
      <c r="L23" s="1">
        <v>41.95</v>
      </c>
      <c r="M23" s="1" t="s">
        <v>25</v>
      </c>
      <c r="N23" s="1" t="s">
        <v>935</v>
      </c>
      <c r="O23" s="1" t="s">
        <v>374</v>
      </c>
      <c r="P23" s="1" t="s">
        <v>957</v>
      </c>
      <c r="Q23" s="1">
        <v>695</v>
      </c>
      <c r="R23" s="1">
        <v>275</v>
      </c>
      <c r="S23" s="1">
        <f t="shared" si="0"/>
        <v>233.05</v>
      </c>
      <c r="T23" s="1">
        <v>233.05</v>
      </c>
      <c r="V23" t="str">
        <f t="shared" si="1"/>
        <v>NO</v>
      </c>
    </row>
    <row r="24" spans="1:22" x14ac:dyDescent="0.25">
      <c r="A24" s="1">
        <v>0</v>
      </c>
      <c r="B24" s="1">
        <v>1</v>
      </c>
      <c r="C24" s="1">
        <v>1997</v>
      </c>
      <c r="D24" s="1" t="s">
        <v>935</v>
      </c>
      <c r="E24" s="1">
        <v>3028</v>
      </c>
      <c r="F24" s="1" t="s">
        <v>935</v>
      </c>
      <c r="G24" s="1" t="s">
        <v>378</v>
      </c>
      <c r="H24" s="2">
        <v>45911.650694444441</v>
      </c>
      <c r="I24" s="2">
        <v>45911.650694444441</v>
      </c>
      <c r="J24" s="2">
        <v>45911.650694444441</v>
      </c>
      <c r="K24" s="1">
        <v>1845</v>
      </c>
      <c r="L24" s="1">
        <v>332.1</v>
      </c>
      <c r="M24" s="1" t="s">
        <v>48</v>
      </c>
      <c r="N24" s="1" t="s">
        <v>935</v>
      </c>
      <c r="O24" s="1" t="s">
        <v>382</v>
      </c>
      <c r="P24" s="1" t="s">
        <v>958</v>
      </c>
      <c r="Q24" s="1">
        <v>696</v>
      </c>
      <c r="R24" s="1">
        <v>7510.9949999999999</v>
      </c>
      <c r="S24" s="1">
        <f t="shared" si="0"/>
        <v>6715.8</v>
      </c>
      <c r="T24" s="1">
        <v>6715.8</v>
      </c>
      <c r="V24" t="str">
        <f t="shared" si="1"/>
        <v>NO</v>
      </c>
    </row>
    <row r="25" spans="1:22" x14ac:dyDescent="0.25">
      <c r="A25" s="1">
        <v>0</v>
      </c>
      <c r="B25" s="1">
        <v>1</v>
      </c>
      <c r="C25" s="1">
        <v>311</v>
      </c>
      <c r="D25" s="1" t="s">
        <v>935</v>
      </c>
      <c r="E25" s="1">
        <v>3207</v>
      </c>
      <c r="F25" s="1" t="s">
        <v>463</v>
      </c>
      <c r="G25" s="1" t="s">
        <v>464</v>
      </c>
      <c r="H25" s="2">
        <v>45912.618055555555</v>
      </c>
      <c r="I25" s="2">
        <v>45912.618055555555</v>
      </c>
      <c r="J25" s="2">
        <v>45912.618055555555</v>
      </c>
      <c r="K25" s="1">
        <v>114.41</v>
      </c>
      <c r="L25" s="1">
        <v>20.59</v>
      </c>
      <c r="M25" s="1" t="s">
        <v>25</v>
      </c>
      <c r="N25" s="1" t="s">
        <v>935</v>
      </c>
      <c r="O25" s="1" t="s">
        <v>468</v>
      </c>
      <c r="P25" s="1" t="s">
        <v>959</v>
      </c>
      <c r="Q25" s="1">
        <v>709</v>
      </c>
      <c r="R25" s="1">
        <v>135</v>
      </c>
      <c r="S25" s="1">
        <f t="shared" si="0"/>
        <v>114.41</v>
      </c>
      <c r="T25" s="1">
        <v>114.41</v>
      </c>
      <c r="V25" t="str">
        <f t="shared" si="1"/>
        <v>NO</v>
      </c>
    </row>
    <row r="26" spans="1:22" x14ac:dyDescent="0.25">
      <c r="A26" s="1">
        <v>0</v>
      </c>
      <c r="B26" s="1">
        <v>1</v>
      </c>
      <c r="C26" s="1">
        <v>1861</v>
      </c>
      <c r="D26" s="1" t="s">
        <v>935</v>
      </c>
      <c r="E26" s="1">
        <v>3208</v>
      </c>
      <c r="F26" s="1" t="s">
        <v>471</v>
      </c>
      <c r="G26" s="1" t="s">
        <v>472</v>
      </c>
      <c r="H26" s="2">
        <v>45916.495833333334</v>
      </c>
      <c r="I26" s="2">
        <v>45916.495833333334</v>
      </c>
      <c r="J26" s="2">
        <v>45551.495833333334</v>
      </c>
      <c r="K26" s="1">
        <v>28.5</v>
      </c>
      <c r="L26" s="1">
        <v>5.13</v>
      </c>
      <c r="M26" s="1" t="s">
        <v>48</v>
      </c>
      <c r="N26" s="1" t="s">
        <v>935</v>
      </c>
      <c r="O26" s="1" t="s">
        <v>477</v>
      </c>
      <c r="P26" s="1" t="s">
        <v>960</v>
      </c>
      <c r="Q26" s="1">
        <v>710</v>
      </c>
      <c r="R26" s="1">
        <v>116.0235</v>
      </c>
      <c r="S26" s="1">
        <f t="shared" si="0"/>
        <v>103.74000000000001</v>
      </c>
      <c r="T26" s="1">
        <v>103.74000000000001</v>
      </c>
      <c r="V26" t="str">
        <f t="shared" si="1"/>
        <v>NO</v>
      </c>
    </row>
    <row r="27" spans="1:22" x14ac:dyDescent="0.25">
      <c r="A27" s="1">
        <v>0</v>
      </c>
      <c r="B27" s="1">
        <v>1</v>
      </c>
      <c r="C27" s="1">
        <v>2096</v>
      </c>
      <c r="D27" s="1" t="s">
        <v>935</v>
      </c>
      <c r="E27" s="1">
        <v>3210</v>
      </c>
      <c r="F27" s="1" t="s">
        <v>535</v>
      </c>
      <c r="G27" s="1" t="s">
        <v>536</v>
      </c>
      <c r="H27" s="2">
        <v>45918.504166666666</v>
      </c>
      <c r="I27" s="2">
        <v>45918.504166666666</v>
      </c>
      <c r="J27" s="2">
        <v>45918.504166666666</v>
      </c>
      <c r="K27" s="1">
        <v>389.83</v>
      </c>
      <c r="L27" s="1">
        <v>70.17</v>
      </c>
      <c r="M27" s="1" t="s">
        <v>25</v>
      </c>
      <c r="N27" s="1" t="s">
        <v>935</v>
      </c>
      <c r="O27" s="1" t="s">
        <v>540</v>
      </c>
      <c r="P27" s="1" t="s">
        <v>961</v>
      </c>
      <c r="Q27" s="1">
        <v>721</v>
      </c>
      <c r="R27" s="1">
        <v>460</v>
      </c>
      <c r="S27" s="1">
        <f t="shared" si="0"/>
        <v>389.83</v>
      </c>
      <c r="T27" s="1">
        <v>389.83</v>
      </c>
      <c r="V27" t="str">
        <f t="shared" si="1"/>
        <v>NO</v>
      </c>
    </row>
    <row r="28" spans="1:22" x14ac:dyDescent="0.25">
      <c r="A28" s="1">
        <v>0</v>
      </c>
      <c r="B28" s="1">
        <v>1</v>
      </c>
      <c r="C28" s="1">
        <v>2096</v>
      </c>
      <c r="D28" s="1" t="s">
        <v>935</v>
      </c>
      <c r="E28" s="1">
        <v>3211</v>
      </c>
      <c r="F28" s="1" t="s">
        <v>543</v>
      </c>
      <c r="G28" s="1" t="s">
        <v>544</v>
      </c>
      <c r="H28" s="2">
        <v>45918.561805555553</v>
      </c>
      <c r="I28" s="2">
        <v>45918.561805555553</v>
      </c>
      <c r="J28" s="2">
        <v>45918.561805555553</v>
      </c>
      <c r="K28" s="1">
        <v>584.75</v>
      </c>
      <c r="L28" s="1">
        <v>105.25</v>
      </c>
      <c r="M28" s="1" t="s">
        <v>25</v>
      </c>
      <c r="N28" s="1" t="s">
        <v>935</v>
      </c>
      <c r="O28" s="1" t="s">
        <v>548</v>
      </c>
      <c r="P28" s="1" t="s">
        <v>962</v>
      </c>
      <c r="Q28" s="1">
        <v>722</v>
      </c>
      <c r="R28" s="1">
        <v>690</v>
      </c>
      <c r="S28" s="1">
        <f t="shared" si="0"/>
        <v>584.75</v>
      </c>
      <c r="T28" s="1">
        <v>584.75</v>
      </c>
      <c r="V28" t="str">
        <f t="shared" si="1"/>
        <v>NO</v>
      </c>
    </row>
    <row r="29" spans="1:22" x14ac:dyDescent="0.25">
      <c r="A29" s="1">
        <v>0</v>
      </c>
      <c r="B29" s="1">
        <v>1</v>
      </c>
      <c r="C29" s="1">
        <v>2110</v>
      </c>
      <c r="D29" s="1" t="s">
        <v>935</v>
      </c>
      <c r="E29" s="1">
        <v>3212</v>
      </c>
      <c r="F29" s="1" t="s">
        <v>552</v>
      </c>
      <c r="G29" s="1" t="s">
        <v>553</v>
      </c>
      <c r="H29" s="2">
        <v>45919.421527777777</v>
      </c>
      <c r="I29" s="2">
        <v>45919.421527777777</v>
      </c>
      <c r="J29" s="2">
        <v>45919.421527777777</v>
      </c>
      <c r="K29" s="1">
        <v>2040</v>
      </c>
      <c r="L29" s="1">
        <v>367.2</v>
      </c>
      <c r="M29" s="1" t="s">
        <v>48</v>
      </c>
      <c r="N29" s="1" t="s">
        <v>935</v>
      </c>
      <c r="O29" s="1" t="s">
        <v>557</v>
      </c>
      <c r="P29" s="1" t="s">
        <v>963</v>
      </c>
      <c r="Q29" s="1">
        <v>723</v>
      </c>
      <c r="R29" s="1">
        <v>8304.84</v>
      </c>
      <c r="S29" s="1">
        <f t="shared" si="0"/>
        <v>7425.6</v>
      </c>
      <c r="T29" s="1">
        <v>7425.6</v>
      </c>
      <c r="V29" t="str">
        <f t="shared" si="1"/>
        <v>NO</v>
      </c>
    </row>
    <row r="30" spans="1:22" x14ac:dyDescent="0.25">
      <c r="A30" s="1">
        <v>0</v>
      </c>
      <c r="B30" s="1">
        <v>1</v>
      </c>
      <c r="C30" s="1">
        <v>120</v>
      </c>
      <c r="D30" s="1" t="s">
        <v>935</v>
      </c>
      <c r="E30" s="1">
        <v>3213</v>
      </c>
      <c r="F30" s="1" t="s">
        <v>561</v>
      </c>
      <c r="G30" s="1" t="s">
        <v>562</v>
      </c>
      <c r="H30" s="2">
        <v>45919.695138888892</v>
      </c>
      <c r="I30" s="2">
        <v>45919.695138888892</v>
      </c>
      <c r="J30" s="2">
        <v>45919.695138888892</v>
      </c>
      <c r="K30" s="1">
        <v>538</v>
      </c>
      <c r="L30" s="1">
        <v>96.84</v>
      </c>
      <c r="M30" s="1" t="s">
        <v>48</v>
      </c>
      <c r="N30" s="1" t="s">
        <v>935</v>
      </c>
      <c r="O30" s="1" t="s">
        <v>566</v>
      </c>
      <c r="P30" s="1" t="s">
        <v>964</v>
      </c>
      <c r="Q30" s="1">
        <v>724</v>
      </c>
      <c r="R30" s="1">
        <v>2190.1979999999999</v>
      </c>
      <c r="S30" s="1">
        <f t="shared" si="0"/>
        <v>1958.3200000000002</v>
      </c>
      <c r="T30" s="1">
        <v>1958.3200000000002</v>
      </c>
      <c r="V30" t="str">
        <f t="shared" si="1"/>
        <v>NO</v>
      </c>
    </row>
    <row r="31" spans="1:22" x14ac:dyDescent="0.25">
      <c r="A31" s="1">
        <v>0</v>
      </c>
      <c r="B31" s="1">
        <v>1</v>
      </c>
      <c r="C31" s="1">
        <v>1903</v>
      </c>
      <c r="D31" s="1" t="s">
        <v>935</v>
      </c>
      <c r="E31" s="1">
        <v>3214</v>
      </c>
      <c r="F31" s="1" t="s">
        <v>610</v>
      </c>
      <c r="G31" s="1" t="s">
        <v>611</v>
      </c>
      <c r="H31" s="2">
        <v>45922.611805555556</v>
      </c>
      <c r="I31" s="2">
        <v>45922.611805555556</v>
      </c>
      <c r="J31" s="2">
        <v>45922.611805555556</v>
      </c>
      <c r="K31" s="1">
        <v>711.85</v>
      </c>
      <c r="L31" s="1">
        <v>128.13</v>
      </c>
      <c r="M31" s="1" t="s">
        <v>25</v>
      </c>
      <c r="N31" s="1" t="s">
        <v>935</v>
      </c>
      <c r="O31" s="1" t="s">
        <v>615</v>
      </c>
      <c r="P31" s="1" t="s">
        <v>965</v>
      </c>
      <c r="Q31" s="1">
        <v>730</v>
      </c>
      <c r="R31" s="1">
        <v>839.98</v>
      </c>
      <c r="S31" s="1">
        <f t="shared" si="0"/>
        <v>711.85</v>
      </c>
      <c r="T31" s="1">
        <v>711.85</v>
      </c>
      <c r="V31" t="str">
        <f t="shared" si="1"/>
        <v>NO</v>
      </c>
    </row>
    <row r="32" spans="1:22" x14ac:dyDescent="0.25">
      <c r="A32" s="1">
        <v>0</v>
      </c>
      <c r="B32" s="1">
        <v>1</v>
      </c>
      <c r="C32" s="1">
        <v>243</v>
      </c>
      <c r="D32" s="1" t="s">
        <v>935</v>
      </c>
      <c r="E32" s="1">
        <v>3215</v>
      </c>
      <c r="F32" s="1" t="s">
        <v>618</v>
      </c>
      <c r="G32" s="1" t="s">
        <v>619</v>
      </c>
      <c r="H32" s="2">
        <v>45922.659722222219</v>
      </c>
      <c r="I32" s="2">
        <v>45922.659722222219</v>
      </c>
      <c r="J32" s="2">
        <v>45922.659722222219</v>
      </c>
      <c r="K32" s="1">
        <v>609.84</v>
      </c>
      <c r="L32" s="1">
        <v>109.77</v>
      </c>
      <c r="M32" s="1" t="s">
        <v>25</v>
      </c>
      <c r="N32" s="1" t="s">
        <v>935</v>
      </c>
      <c r="O32" s="1" t="s">
        <v>623</v>
      </c>
      <c r="P32" s="1" t="s">
        <v>966</v>
      </c>
      <c r="Q32" s="1">
        <v>731</v>
      </c>
      <c r="R32" s="1">
        <v>719.61</v>
      </c>
      <c r="S32" s="1">
        <f t="shared" si="0"/>
        <v>609.84</v>
      </c>
      <c r="T32" s="1">
        <v>609.84</v>
      </c>
      <c r="V32" t="str">
        <f t="shared" si="1"/>
        <v>NO</v>
      </c>
    </row>
    <row r="33" spans="1:22" x14ac:dyDescent="0.25">
      <c r="A33" s="1">
        <v>0</v>
      </c>
      <c r="B33" s="1">
        <v>1</v>
      </c>
      <c r="C33" s="1">
        <v>1245</v>
      </c>
      <c r="D33" s="1" t="s">
        <v>935</v>
      </c>
      <c r="E33" s="1">
        <v>3216</v>
      </c>
      <c r="F33" s="1" t="s">
        <v>627</v>
      </c>
      <c r="G33" s="1" t="s">
        <v>628</v>
      </c>
      <c r="H33" s="2">
        <v>45923.668055555558</v>
      </c>
      <c r="I33" s="2">
        <v>45923.668055555558</v>
      </c>
      <c r="J33" s="2">
        <v>45923.668055555558</v>
      </c>
      <c r="K33" s="1">
        <v>1030</v>
      </c>
      <c r="L33" s="1">
        <v>185.4</v>
      </c>
      <c r="M33" s="1" t="s">
        <v>48</v>
      </c>
      <c r="N33" s="1" t="s">
        <v>935</v>
      </c>
      <c r="O33" s="1" t="s">
        <v>632</v>
      </c>
      <c r="P33" s="1" t="s">
        <v>967</v>
      </c>
      <c r="Q33" s="1">
        <v>732</v>
      </c>
      <c r="R33" s="1">
        <v>4193.13</v>
      </c>
      <c r="S33" s="1">
        <f t="shared" si="0"/>
        <v>3749.2000000000003</v>
      </c>
      <c r="T33" s="1">
        <v>3749.2000000000003</v>
      </c>
      <c r="V33" t="str">
        <f t="shared" si="1"/>
        <v>NO</v>
      </c>
    </row>
    <row r="34" spans="1:22" x14ac:dyDescent="0.25">
      <c r="A34" s="1">
        <v>0</v>
      </c>
      <c r="B34" s="1">
        <v>1</v>
      </c>
      <c r="C34" s="1">
        <v>2109</v>
      </c>
      <c r="D34" s="1" t="s">
        <v>935</v>
      </c>
      <c r="E34" s="1">
        <v>3218</v>
      </c>
      <c r="F34" s="1" t="s">
        <v>636</v>
      </c>
      <c r="G34" s="1" t="s">
        <v>637</v>
      </c>
      <c r="H34" s="2">
        <v>45924.691666666666</v>
      </c>
      <c r="I34" s="2">
        <v>45924.691666666666</v>
      </c>
      <c r="J34" s="2">
        <v>45924.691666666666</v>
      </c>
      <c r="K34" s="1">
        <v>390.45</v>
      </c>
      <c r="L34" s="1">
        <v>70.28</v>
      </c>
      <c r="M34" s="1" t="s">
        <v>48</v>
      </c>
      <c r="N34" s="1" t="s">
        <v>935</v>
      </c>
      <c r="O34" s="1" t="s">
        <v>641</v>
      </c>
      <c r="P34" s="1" t="s">
        <v>968</v>
      </c>
      <c r="Q34" s="1">
        <v>736</v>
      </c>
      <c r="R34" s="1">
        <v>1589.5184999999999</v>
      </c>
      <c r="S34" s="1">
        <f t="shared" si="0"/>
        <v>1421.2380000000001</v>
      </c>
      <c r="T34" s="1">
        <v>1421.2380000000001</v>
      </c>
      <c r="V34" t="str">
        <f t="shared" si="1"/>
        <v>NO</v>
      </c>
    </row>
    <row r="35" spans="1:22" x14ac:dyDescent="0.25">
      <c r="A35" s="1">
        <v>0</v>
      </c>
      <c r="B35" s="1">
        <v>1</v>
      </c>
      <c r="C35" s="1">
        <v>2096</v>
      </c>
      <c r="D35" s="1" t="s">
        <v>935</v>
      </c>
      <c r="E35" s="1">
        <v>3220</v>
      </c>
      <c r="F35" s="1" t="s">
        <v>651</v>
      </c>
      <c r="G35" s="1" t="s">
        <v>652</v>
      </c>
      <c r="H35" s="2">
        <v>45924.765277777777</v>
      </c>
      <c r="I35" s="2">
        <v>45924.765277777777</v>
      </c>
      <c r="J35" s="2">
        <v>45924.765277777777</v>
      </c>
      <c r="K35" s="1">
        <v>194.92</v>
      </c>
      <c r="L35" s="1">
        <v>35.08</v>
      </c>
      <c r="M35" s="1" t="s">
        <v>25</v>
      </c>
      <c r="N35" s="1" t="s">
        <v>935</v>
      </c>
      <c r="O35" s="1" t="s">
        <v>656</v>
      </c>
      <c r="P35" s="1" t="s">
        <v>969</v>
      </c>
      <c r="Q35" s="1">
        <v>738</v>
      </c>
      <c r="R35" s="1">
        <v>230</v>
      </c>
      <c r="S35" s="1">
        <f t="shared" si="0"/>
        <v>194.92</v>
      </c>
      <c r="T35" s="1">
        <v>194.92</v>
      </c>
      <c r="V35" t="str">
        <f t="shared" si="1"/>
        <v>NO</v>
      </c>
    </row>
    <row r="36" spans="1:22" x14ac:dyDescent="0.25">
      <c r="A36" s="1">
        <v>0</v>
      </c>
      <c r="B36" s="1">
        <v>1</v>
      </c>
      <c r="C36" s="1">
        <v>749</v>
      </c>
      <c r="D36" s="1" t="s">
        <v>935</v>
      </c>
      <c r="E36" s="1">
        <v>3222</v>
      </c>
      <c r="F36" s="1" t="s">
        <v>678</v>
      </c>
      <c r="G36" s="1">
        <v>8205258922404120</v>
      </c>
      <c r="H36" s="2">
        <v>45924.998611111114</v>
      </c>
      <c r="I36" s="2">
        <v>45924.998611111114</v>
      </c>
      <c r="J36" s="2">
        <v>45924.998611111114</v>
      </c>
      <c r="K36" s="1">
        <v>11.15</v>
      </c>
      <c r="L36" s="1">
        <v>0</v>
      </c>
      <c r="M36" s="1" t="s">
        <v>48</v>
      </c>
      <c r="N36" s="1" t="s">
        <v>935</v>
      </c>
      <c r="O36" s="1" t="s">
        <v>682</v>
      </c>
      <c r="P36" s="1" t="s">
        <v>970</v>
      </c>
      <c r="Q36" s="1">
        <v>741</v>
      </c>
      <c r="R36" s="1">
        <v>38.467500000000001</v>
      </c>
      <c r="S36" s="1">
        <f t="shared" si="0"/>
        <v>40.586000000000006</v>
      </c>
      <c r="T36" s="1">
        <v>40.586000000000006</v>
      </c>
      <c r="V36" t="str">
        <f t="shared" si="1"/>
        <v>NO</v>
      </c>
    </row>
    <row r="37" spans="1:22" x14ac:dyDescent="0.25">
      <c r="A37" s="1">
        <v>0</v>
      </c>
      <c r="B37" s="1">
        <v>1</v>
      </c>
      <c r="C37" s="1">
        <v>1903</v>
      </c>
      <c r="D37" s="1" t="s">
        <v>935</v>
      </c>
      <c r="E37" s="1">
        <v>3224</v>
      </c>
      <c r="F37" s="1" t="s">
        <v>694</v>
      </c>
      <c r="G37" s="1" t="s">
        <v>695</v>
      </c>
      <c r="H37" s="2">
        <v>45925.476388888892</v>
      </c>
      <c r="I37" s="2">
        <v>45925.476388888892</v>
      </c>
      <c r="J37" s="2">
        <v>45925.476388888892</v>
      </c>
      <c r="K37" s="1">
        <v>711.86</v>
      </c>
      <c r="L37" s="1">
        <v>128.13999999999999</v>
      </c>
      <c r="M37" s="1" t="s">
        <v>25</v>
      </c>
      <c r="N37" s="1" t="s">
        <v>935</v>
      </c>
      <c r="O37" s="1" t="s">
        <v>699</v>
      </c>
      <c r="P37" s="1" t="s">
        <v>971</v>
      </c>
      <c r="Q37" s="1">
        <v>743</v>
      </c>
      <c r="R37" s="1">
        <v>840</v>
      </c>
      <c r="S37" s="1">
        <f t="shared" si="0"/>
        <v>711.86</v>
      </c>
      <c r="T37" s="1">
        <v>711.86</v>
      </c>
      <c r="V37" t="str">
        <f t="shared" si="1"/>
        <v>NO</v>
      </c>
    </row>
    <row r="38" spans="1:22" x14ac:dyDescent="0.25">
      <c r="A38" s="1">
        <v>0</v>
      </c>
      <c r="B38" s="1">
        <v>1</v>
      </c>
      <c r="C38" s="1">
        <v>243</v>
      </c>
      <c r="D38" s="1" t="s">
        <v>935</v>
      </c>
      <c r="E38" s="1">
        <v>3223</v>
      </c>
      <c r="F38" s="1" t="s">
        <v>702</v>
      </c>
      <c r="G38" s="1" t="s">
        <v>703</v>
      </c>
      <c r="H38" s="2">
        <v>45925.478472222225</v>
      </c>
      <c r="I38" s="2">
        <v>45925.478472222225</v>
      </c>
      <c r="J38" s="2">
        <v>45925.478472222225</v>
      </c>
      <c r="K38" s="1">
        <v>894.42</v>
      </c>
      <c r="L38" s="1">
        <v>161</v>
      </c>
      <c r="M38" s="1" t="s">
        <v>25</v>
      </c>
      <c r="N38" s="1" t="s">
        <v>935</v>
      </c>
      <c r="O38" s="1" t="s">
        <v>707</v>
      </c>
      <c r="P38" s="1" t="s">
        <v>972</v>
      </c>
      <c r="Q38" s="1">
        <v>744</v>
      </c>
      <c r="R38" s="1">
        <v>1055.42</v>
      </c>
      <c r="S38" s="1">
        <f t="shared" si="0"/>
        <v>894.42</v>
      </c>
      <c r="T38" s="1">
        <v>894.42</v>
      </c>
      <c r="V38" t="str">
        <f t="shared" si="1"/>
        <v>NO</v>
      </c>
    </row>
    <row r="39" spans="1:22" x14ac:dyDescent="0.25">
      <c r="A39" s="1">
        <v>0</v>
      </c>
      <c r="B39" s="1">
        <v>1</v>
      </c>
      <c r="C39" s="1">
        <v>823</v>
      </c>
      <c r="D39" s="1" t="s">
        <v>935</v>
      </c>
      <c r="E39" s="1">
        <v>3226</v>
      </c>
      <c r="F39" s="1" t="s">
        <v>711</v>
      </c>
      <c r="G39" s="1" t="s">
        <v>712</v>
      </c>
      <c r="H39" s="2">
        <v>45926.477777777778</v>
      </c>
      <c r="I39" s="2">
        <v>45926.477777777778</v>
      </c>
      <c r="J39" s="2">
        <v>45926.477777777778</v>
      </c>
      <c r="K39" s="1">
        <v>49.15</v>
      </c>
      <c r="L39" s="1">
        <v>8.85</v>
      </c>
      <c r="M39" s="1" t="s">
        <v>25</v>
      </c>
      <c r="N39" s="1" t="s">
        <v>935</v>
      </c>
      <c r="O39" s="1" t="s">
        <v>716</v>
      </c>
      <c r="P39" s="1" t="s">
        <v>973</v>
      </c>
      <c r="Q39" s="1">
        <v>745</v>
      </c>
      <c r="R39" s="1">
        <v>58</v>
      </c>
      <c r="S39" s="1">
        <f t="shared" si="0"/>
        <v>49.15</v>
      </c>
      <c r="T39" s="1">
        <v>49.15</v>
      </c>
      <c r="V39" t="str">
        <f t="shared" si="1"/>
        <v>NO</v>
      </c>
    </row>
    <row r="40" spans="1:22" x14ac:dyDescent="0.25">
      <c r="A40" s="1">
        <v>0</v>
      </c>
      <c r="B40" s="1">
        <v>1</v>
      </c>
      <c r="C40" s="1">
        <v>749</v>
      </c>
      <c r="D40" s="1" t="s">
        <v>935</v>
      </c>
      <c r="E40" s="1">
        <v>3227</v>
      </c>
      <c r="F40" s="1" t="s">
        <v>768</v>
      </c>
      <c r="G40" s="1">
        <v>8205463820034120</v>
      </c>
      <c r="H40" s="2">
        <v>45928.992361111108</v>
      </c>
      <c r="I40" s="2">
        <v>45928.992361111108</v>
      </c>
      <c r="J40" s="2">
        <v>45928.992361111108</v>
      </c>
      <c r="K40" s="1">
        <v>89.75</v>
      </c>
      <c r="L40" s="1">
        <v>0</v>
      </c>
      <c r="M40" s="1" t="s">
        <v>48</v>
      </c>
      <c r="N40" s="1" t="s">
        <v>935</v>
      </c>
      <c r="O40" s="1" t="s">
        <v>772</v>
      </c>
      <c r="P40" s="1" t="s">
        <v>974</v>
      </c>
      <c r="Q40" s="1">
        <v>752</v>
      </c>
      <c r="R40" s="1">
        <v>309.63749999999999</v>
      </c>
      <c r="S40" s="1">
        <f t="shared" si="0"/>
        <v>326.69</v>
      </c>
      <c r="T40" s="1">
        <v>326.69</v>
      </c>
      <c r="V40" t="str">
        <f t="shared" si="1"/>
        <v>NO</v>
      </c>
    </row>
    <row r="41" spans="1:22" x14ac:dyDescent="0.25">
      <c r="A41" s="1"/>
      <c r="B41" s="1"/>
      <c r="C41" s="1"/>
      <c r="D41" s="1"/>
      <c r="E41" s="1"/>
      <c r="F41" s="1"/>
      <c r="G41" s="1"/>
      <c r="H41" s="2"/>
      <c r="I41" s="2"/>
      <c r="J41" s="2"/>
      <c r="K41" s="1"/>
      <c r="L41" s="1"/>
      <c r="M41" s="1"/>
      <c r="N41" s="1"/>
      <c r="O41" s="1"/>
      <c r="P41" s="1"/>
      <c r="Q41" s="1"/>
      <c r="R41">
        <f>SUM(R2:R40)</f>
        <v>40268.540499999988</v>
      </c>
    </row>
    <row r="42" spans="1:22" x14ac:dyDescent="0.25">
      <c r="A42" s="1"/>
      <c r="B42" s="1"/>
      <c r="C42" s="1"/>
      <c r="D42" s="1"/>
      <c r="E42" s="1"/>
      <c r="F42" s="1"/>
      <c r="G42" s="1"/>
      <c r="H42" s="2"/>
      <c r="I42" s="2"/>
      <c r="J42" s="2"/>
      <c r="K42" s="1"/>
      <c r="L42" s="1"/>
      <c r="M42" s="1"/>
      <c r="N42" s="1"/>
      <c r="O42" s="1"/>
      <c r="P42" s="1"/>
      <c r="Q42" s="1"/>
    </row>
    <row r="43" spans="1:2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22" x14ac:dyDescent="0.25">
      <c r="A44" s="1"/>
      <c r="B44" s="1"/>
      <c r="C44" s="1"/>
      <c r="D44" s="1"/>
      <c r="E44" s="1"/>
      <c r="F44" s="1"/>
      <c r="G44" s="1"/>
      <c r="H44" s="2"/>
      <c r="I44" s="2"/>
      <c r="J44" s="2"/>
      <c r="K44" s="1"/>
      <c r="L44" s="1"/>
      <c r="M44" s="1"/>
      <c r="N44" s="1"/>
      <c r="O44" s="1"/>
      <c r="P44" s="1"/>
      <c r="Q44" s="1"/>
    </row>
    <row r="45" spans="1:22" x14ac:dyDescent="0.25">
      <c r="A45" s="1"/>
      <c r="B45" s="1"/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</row>
    <row r="46" spans="1:22" x14ac:dyDescent="0.25">
      <c r="A46" s="1"/>
      <c r="B46" s="1"/>
      <c r="C46" s="1"/>
      <c r="D46" s="1"/>
      <c r="E46" s="1"/>
      <c r="F46" s="1"/>
      <c r="G46" s="1"/>
      <c r="H46" s="2"/>
      <c r="I46" s="2"/>
      <c r="J46" s="1"/>
      <c r="K46" s="1"/>
      <c r="L46" s="1"/>
      <c r="M46" s="1"/>
      <c r="N46" s="1"/>
      <c r="O46" s="1"/>
      <c r="P46" s="1"/>
      <c r="Q46" s="1"/>
    </row>
    <row r="47" spans="1:22" x14ac:dyDescent="0.25">
      <c r="A47" s="1"/>
      <c r="B47" s="1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</row>
    <row r="48" spans="1:2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5">
      <c r="A49" s="1"/>
      <c r="B49" s="1"/>
      <c r="C49" s="1"/>
      <c r="D49" s="1"/>
      <c r="E49" s="1"/>
      <c r="F49" s="1"/>
      <c r="G49" s="1"/>
      <c r="H49" s="2"/>
      <c r="I49" s="2"/>
      <c r="J49" s="2"/>
      <c r="K49" s="1"/>
      <c r="L49" s="1"/>
      <c r="M49" s="1"/>
      <c r="N49" s="1"/>
      <c r="O49" s="1"/>
      <c r="P49" s="1"/>
      <c r="Q49" s="1"/>
    </row>
    <row r="50" spans="1:17" x14ac:dyDescent="0.25">
      <c r="A50" s="1"/>
      <c r="B50" s="1"/>
      <c r="C50" s="1"/>
      <c r="D50" s="1"/>
      <c r="E50" s="1"/>
      <c r="F50" s="1"/>
      <c r="G50" s="1"/>
      <c r="H50" s="2"/>
      <c r="I50" s="2"/>
      <c r="J50" s="2"/>
      <c r="K50" s="1"/>
      <c r="L50" s="1"/>
      <c r="M50" s="1"/>
      <c r="N50" s="1"/>
      <c r="O50" s="1"/>
      <c r="P50" s="1"/>
      <c r="Q50" s="1"/>
    </row>
    <row r="51" spans="1:17" x14ac:dyDescent="0.25">
      <c r="A51" s="1"/>
      <c r="B51" s="1"/>
      <c r="C51" s="1"/>
      <c r="D51" s="1"/>
      <c r="E51" s="1"/>
      <c r="F51" s="1"/>
      <c r="G51" s="1"/>
      <c r="H51" s="2"/>
      <c r="I51" s="2"/>
      <c r="J51" s="2"/>
      <c r="K51" s="1"/>
      <c r="L51" s="1"/>
      <c r="M51" s="1"/>
      <c r="N51" s="1"/>
      <c r="O51" s="1"/>
      <c r="P51" s="1"/>
      <c r="Q51" s="1"/>
    </row>
    <row r="52" spans="1:17" x14ac:dyDescent="0.25">
      <c r="A52" s="1"/>
      <c r="B52" s="1"/>
      <c r="C52" s="1"/>
      <c r="D52" s="1"/>
      <c r="E52" s="1"/>
      <c r="F52" s="1"/>
      <c r="G52" s="1"/>
      <c r="H52" s="2"/>
      <c r="I52" s="2"/>
      <c r="J52" s="2"/>
      <c r="K52" s="1"/>
      <c r="L52" s="1"/>
      <c r="M52" s="1"/>
      <c r="N52" s="1"/>
      <c r="O52" s="1"/>
      <c r="P52" s="1"/>
      <c r="Q52" s="1"/>
    </row>
    <row r="53" spans="1:17" x14ac:dyDescent="0.25">
      <c r="A53" s="1"/>
      <c r="B53" s="1"/>
      <c r="C53" s="1"/>
      <c r="D53" s="1"/>
      <c r="E53" s="1"/>
      <c r="F53" s="1"/>
      <c r="G53" s="1"/>
      <c r="H53" s="2"/>
      <c r="I53" s="2"/>
      <c r="J53" s="2"/>
      <c r="K53" s="1"/>
      <c r="L53" s="1"/>
      <c r="M53" s="1"/>
      <c r="N53" s="1"/>
      <c r="O53" s="1"/>
      <c r="P53" s="1"/>
      <c r="Q53" s="1"/>
    </row>
    <row r="54" spans="1:17" x14ac:dyDescent="0.25">
      <c r="A54" s="1"/>
      <c r="B54" s="1"/>
      <c r="C54" s="1"/>
      <c r="D54" s="1"/>
      <c r="E54" s="1"/>
      <c r="F54" s="1"/>
      <c r="G54" s="1"/>
      <c r="H54" s="2"/>
      <c r="I54" s="2"/>
      <c r="J54" s="2"/>
      <c r="K54" s="1"/>
      <c r="L54" s="1"/>
      <c r="M54" s="1"/>
      <c r="N54" s="1"/>
      <c r="O54" s="1"/>
      <c r="P54" s="1"/>
      <c r="Q54" s="1"/>
    </row>
    <row r="55" spans="1:17" x14ac:dyDescent="0.25">
      <c r="A55" s="1"/>
      <c r="B55" s="1"/>
      <c r="C55" s="1"/>
      <c r="D55" s="1"/>
      <c r="E55" s="1"/>
      <c r="F55" s="1"/>
      <c r="G55" s="1"/>
      <c r="H55" s="2"/>
      <c r="I55" s="2"/>
      <c r="J55" s="2"/>
      <c r="K55" s="1"/>
      <c r="L55" s="1"/>
      <c r="M55" s="1"/>
      <c r="N55" s="1"/>
      <c r="O55" s="1"/>
      <c r="P55" s="1"/>
      <c r="Q55" s="1"/>
    </row>
    <row r="56" spans="1:17" x14ac:dyDescent="0.25">
      <c r="A56" s="1"/>
      <c r="B56" s="1"/>
      <c r="C56" s="1"/>
      <c r="D56" s="1"/>
      <c r="E56" s="1"/>
      <c r="F56" s="1"/>
      <c r="G56" s="1"/>
      <c r="H56" s="2"/>
      <c r="I56" s="2"/>
      <c r="J56" s="2"/>
      <c r="K56" s="1"/>
      <c r="L56" s="1"/>
      <c r="M56" s="1"/>
      <c r="N56" s="1"/>
      <c r="O56" s="1"/>
      <c r="P56" s="1"/>
      <c r="Q56" s="1"/>
    </row>
    <row r="57" spans="1:17" x14ac:dyDescent="0.25">
      <c r="A57" s="1"/>
      <c r="B57" s="1"/>
      <c r="C57" s="1"/>
      <c r="D57" s="1"/>
      <c r="E57" s="1"/>
      <c r="F57" s="1"/>
      <c r="G57" s="1"/>
      <c r="H57" s="2"/>
      <c r="I57" s="2"/>
      <c r="J57" s="2"/>
      <c r="K57" s="1"/>
      <c r="L57" s="1"/>
      <c r="M57" s="1"/>
      <c r="N57" s="1"/>
      <c r="O57" s="1"/>
      <c r="P57" s="1"/>
      <c r="Q57" s="1"/>
    </row>
    <row r="58" spans="1:17" x14ac:dyDescent="0.25">
      <c r="A58" s="1"/>
      <c r="B58" s="1"/>
      <c r="C58" s="1"/>
      <c r="D58" s="1"/>
      <c r="E58" s="1"/>
      <c r="F58" s="1"/>
      <c r="G58" s="1"/>
      <c r="H58" s="2"/>
      <c r="I58" s="2"/>
      <c r="J58" s="2"/>
      <c r="K58" s="1"/>
      <c r="L58" s="1"/>
      <c r="M58" s="1"/>
      <c r="N58" s="1"/>
      <c r="O58" s="1"/>
      <c r="P58" s="1"/>
      <c r="Q58" s="1"/>
    </row>
    <row r="59" spans="1:17" x14ac:dyDescent="0.25">
      <c r="A59" s="1"/>
      <c r="B59" s="1"/>
      <c r="C59" s="1"/>
      <c r="D59" s="1"/>
      <c r="E59" s="1"/>
      <c r="F59" s="1"/>
      <c r="G59" s="1"/>
      <c r="H59" s="2"/>
      <c r="I59" s="2"/>
      <c r="J59" s="2"/>
      <c r="K59" s="1"/>
      <c r="L59" s="1"/>
      <c r="M59" s="1"/>
      <c r="N59" s="1"/>
      <c r="O59" s="1"/>
      <c r="P59" s="1"/>
      <c r="Q59" s="1"/>
    </row>
    <row r="60" spans="1:17" x14ac:dyDescent="0.25">
      <c r="A60" s="1"/>
      <c r="B60" s="1"/>
      <c r="C60" s="1"/>
      <c r="D60" s="1"/>
      <c r="E60" s="1"/>
      <c r="F60" s="1"/>
      <c r="G60" s="1"/>
      <c r="H60" s="2"/>
      <c r="I60" s="2"/>
      <c r="J60" s="2"/>
      <c r="K60" s="1"/>
      <c r="L60" s="1"/>
      <c r="M60" s="1"/>
      <c r="N60" s="1"/>
      <c r="O60" s="1"/>
      <c r="P60" s="1"/>
      <c r="Q60" s="1"/>
    </row>
    <row r="61" spans="1:17" x14ac:dyDescent="0.25">
      <c r="A61" s="1"/>
      <c r="B61" s="1"/>
      <c r="C61" s="1"/>
      <c r="D61" s="1"/>
      <c r="E61" s="1"/>
      <c r="F61" s="1"/>
      <c r="G61" s="1"/>
      <c r="H61" s="2"/>
      <c r="I61" s="2"/>
      <c r="J61" s="2"/>
      <c r="K61" s="1"/>
      <c r="L61" s="1"/>
      <c r="M61" s="1"/>
      <c r="N61" s="1"/>
      <c r="O61" s="1"/>
      <c r="P61" s="1"/>
      <c r="Q61" s="1"/>
    </row>
    <row r="62" spans="1:17" x14ac:dyDescent="0.25">
      <c r="A62" s="1"/>
      <c r="B62" s="1"/>
      <c r="C62" s="1"/>
      <c r="D62" s="1"/>
      <c r="E62" s="1"/>
      <c r="F62" s="1"/>
      <c r="G62" s="1"/>
      <c r="H62" s="2"/>
      <c r="I62" s="2"/>
      <c r="J62" s="2"/>
      <c r="K62" s="1"/>
      <c r="L62" s="1"/>
      <c r="M62" s="1"/>
      <c r="N62" s="1"/>
      <c r="O62" s="1"/>
      <c r="P62" s="1"/>
      <c r="Q62" s="1"/>
    </row>
    <row r="63" spans="1:17" x14ac:dyDescent="0.25">
      <c r="A63" s="1"/>
      <c r="B63" s="1"/>
      <c r="C63" s="1"/>
      <c r="D63" s="1"/>
      <c r="E63" s="1"/>
      <c r="F63" s="1"/>
      <c r="G63" s="1"/>
      <c r="H63" s="2"/>
      <c r="I63" s="2"/>
      <c r="J63" s="2"/>
      <c r="K63" s="1"/>
      <c r="L63" s="1"/>
      <c r="M63" s="1"/>
      <c r="N63" s="1"/>
      <c r="O63" s="1"/>
      <c r="P63" s="1"/>
      <c r="Q63" s="1"/>
    </row>
    <row r="64" spans="1:17" x14ac:dyDescent="0.25">
      <c r="A64" s="1"/>
      <c r="B64" s="1"/>
      <c r="C64" s="1"/>
      <c r="D64" s="1"/>
      <c r="E64" s="1"/>
      <c r="F64" s="1"/>
      <c r="G64" s="1"/>
      <c r="H64" s="2"/>
      <c r="I64" s="2"/>
      <c r="J64" s="2"/>
      <c r="K64" s="1"/>
      <c r="L64" s="1"/>
      <c r="M64" s="1"/>
      <c r="N64" s="1"/>
      <c r="O64" s="1"/>
      <c r="P64" s="1"/>
      <c r="Q64" s="1"/>
    </row>
    <row r="65" spans="1:17" x14ac:dyDescent="0.25">
      <c r="A65" s="1"/>
      <c r="B65" s="1"/>
      <c r="C65" s="1"/>
      <c r="D65" s="1"/>
      <c r="E65" s="1"/>
      <c r="F65" s="1"/>
      <c r="G65" s="1"/>
      <c r="H65" s="2"/>
      <c r="I65" s="2"/>
      <c r="J65" s="2"/>
      <c r="K65" s="1"/>
      <c r="L65" s="1"/>
      <c r="M65" s="1"/>
      <c r="N65" s="1"/>
      <c r="O65" s="1"/>
      <c r="P65" s="1"/>
      <c r="Q65" s="1"/>
    </row>
    <row r="66" spans="1:17" x14ac:dyDescent="0.25">
      <c r="A66" s="1"/>
      <c r="B66" s="1"/>
      <c r="C66" s="1"/>
      <c r="D66" s="1"/>
      <c r="E66" s="1"/>
      <c r="F66" s="1"/>
      <c r="G66" s="1"/>
      <c r="H66" s="2"/>
      <c r="I66" s="2"/>
      <c r="J66" s="2"/>
      <c r="K66" s="1"/>
      <c r="L66" s="1"/>
      <c r="M66" s="1"/>
      <c r="N66" s="1"/>
      <c r="O66" s="1"/>
      <c r="P66" s="1"/>
      <c r="Q66" s="1"/>
    </row>
    <row r="67" spans="1:17" x14ac:dyDescent="0.25">
      <c r="A67" s="1"/>
      <c r="B67" s="1"/>
      <c r="C67" s="1"/>
      <c r="D67" s="1"/>
      <c r="E67" s="1"/>
      <c r="F67" s="1"/>
      <c r="G67" s="1"/>
      <c r="H67" s="2"/>
      <c r="I67" s="2"/>
      <c r="J67" s="2"/>
      <c r="K67" s="1"/>
      <c r="L67" s="1"/>
      <c r="M67" s="1"/>
      <c r="N67" s="1"/>
      <c r="O67" s="1"/>
      <c r="P67" s="1"/>
      <c r="Q67" s="1"/>
    </row>
    <row r="68" spans="1:17" x14ac:dyDescent="0.25">
      <c r="A68" s="1"/>
      <c r="B68" s="1"/>
      <c r="C68" s="1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5">
      <c r="A70" s="1"/>
      <c r="B70" s="1"/>
      <c r="C70" s="1"/>
      <c r="D70" s="1"/>
      <c r="E70" s="1"/>
      <c r="F70" s="1"/>
      <c r="G70" s="1"/>
      <c r="H70" s="2"/>
      <c r="I70" s="2"/>
      <c r="J70" s="2"/>
      <c r="K70" s="1"/>
      <c r="L70" s="1"/>
      <c r="M70" s="1"/>
      <c r="N70" s="1"/>
      <c r="O70" s="1"/>
      <c r="P70" s="1"/>
      <c r="Q70" s="1"/>
    </row>
    <row r="71" spans="1:17" x14ac:dyDescent="0.25">
      <c r="A71" s="1"/>
      <c r="B71" s="1"/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5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5">
      <c r="A73" s="1"/>
      <c r="B73" s="1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5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5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5">
      <c r="A76" s="1"/>
      <c r="B76" s="1"/>
      <c r="C76" s="1"/>
      <c r="D76" s="1"/>
      <c r="E76" s="1"/>
      <c r="F76" s="1"/>
      <c r="G76" s="1"/>
      <c r="H76" s="2"/>
      <c r="I76" s="2"/>
      <c r="J76" s="2"/>
      <c r="K76" s="1"/>
      <c r="L76" s="1"/>
      <c r="M76" s="1"/>
      <c r="N76" s="1"/>
      <c r="O76" s="1"/>
      <c r="P76" s="1"/>
      <c r="Q76" s="1"/>
    </row>
    <row r="77" spans="1:17" x14ac:dyDescent="0.25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5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5">
      <c r="A79" s="1"/>
      <c r="B79" s="1"/>
      <c r="C79" s="1"/>
      <c r="D79" s="1"/>
      <c r="E79" s="1"/>
      <c r="F79" s="1"/>
      <c r="G79" s="1"/>
      <c r="H79" s="2"/>
      <c r="I79" s="2"/>
      <c r="J79" s="2"/>
      <c r="K79" s="1"/>
      <c r="L79" s="1"/>
      <c r="M79" s="1"/>
      <c r="N79" s="1"/>
      <c r="O79" s="1"/>
      <c r="P79" s="1"/>
      <c r="Q79" s="1"/>
    </row>
    <row r="80" spans="1:17" x14ac:dyDescent="0.25">
      <c r="A80" s="1"/>
      <c r="B80" s="1"/>
      <c r="C80" s="1"/>
      <c r="D80" s="1"/>
      <c r="E80" s="1"/>
      <c r="F80" s="1"/>
      <c r="G80" s="1"/>
      <c r="H80" s="2"/>
      <c r="I80" s="2"/>
      <c r="J80" s="2"/>
      <c r="K80" s="1"/>
      <c r="L80" s="1"/>
      <c r="M80" s="1"/>
      <c r="N80" s="1"/>
      <c r="O80" s="1"/>
      <c r="P80" s="1"/>
      <c r="Q80" s="1"/>
    </row>
    <row r="81" spans="1:17" x14ac:dyDescent="0.25">
      <c r="A81" s="1"/>
      <c r="B81" s="1"/>
      <c r="C81" s="1"/>
      <c r="D81" s="1"/>
      <c r="E81" s="1"/>
      <c r="F81" s="1"/>
      <c r="G81" s="1"/>
      <c r="H81" s="2"/>
      <c r="I81" s="2"/>
      <c r="J81" s="2"/>
      <c r="K81" s="1"/>
      <c r="L81" s="1"/>
      <c r="M81" s="1"/>
      <c r="N81" s="1"/>
      <c r="O81" s="1"/>
      <c r="P81" s="1"/>
      <c r="Q81" s="1"/>
    </row>
    <row r="82" spans="1:17" x14ac:dyDescent="0.25">
      <c r="A82" s="1"/>
      <c r="B82" s="1"/>
      <c r="C82" s="1"/>
      <c r="D82" s="1"/>
      <c r="E82" s="1"/>
      <c r="F82" s="1"/>
      <c r="G82" s="1"/>
      <c r="H82" s="2"/>
      <c r="I82" s="2"/>
      <c r="J82" s="2"/>
      <c r="K82" s="1"/>
      <c r="L82" s="1"/>
      <c r="M82" s="1"/>
      <c r="N82" s="1"/>
      <c r="O82" s="1"/>
      <c r="P82" s="1"/>
      <c r="Q82" s="1"/>
    </row>
    <row r="83" spans="1:17" x14ac:dyDescent="0.25">
      <c r="A83" s="1"/>
      <c r="B83" s="1"/>
      <c r="C83" s="1"/>
      <c r="D83" s="1"/>
      <c r="E83" s="1"/>
      <c r="F83" s="1"/>
      <c r="G83" s="1"/>
      <c r="H83" s="2"/>
      <c r="I83" s="2"/>
      <c r="J83" s="2"/>
      <c r="K83" s="1"/>
      <c r="L83" s="1"/>
      <c r="M83" s="1"/>
      <c r="N83" s="1"/>
      <c r="O83" s="1"/>
      <c r="P83" s="1"/>
      <c r="Q83" s="1"/>
    </row>
    <row r="84" spans="1:17" x14ac:dyDescent="0.25">
      <c r="A84" s="1"/>
      <c r="B84" s="1"/>
      <c r="C84" s="1"/>
      <c r="D84" s="1"/>
      <c r="E84" s="1"/>
      <c r="F84" s="1"/>
      <c r="G84" s="1"/>
      <c r="H84" s="2"/>
      <c r="I84" s="2"/>
      <c r="J84" s="2"/>
      <c r="K84" s="1"/>
      <c r="L84" s="1"/>
      <c r="M84" s="1"/>
      <c r="N84" s="1"/>
      <c r="O84" s="1"/>
      <c r="P84" s="1"/>
      <c r="Q84" s="1"/>
    </row>
    <row r="85" spans="1:17" x14ac:dyDescent="0.25">
      <c r="A85" s="1"/>
      <c r="B85" s="1"/>
      <c r="C85" s="1"/>
      <c r="D85" s="1"/>
      <c r="E85" s="1"/>
      <c r="F85" s="1"/>
      <c r="G85" s="1"/>
      <c r="H85" s="2"/>
      <c r="I85" s="2"/>
      <c r="J85" s="2"/>
      <c r="K85" s="1"/>
      <c r="L85" s="1"/>
      <c r="M85" s="1"/>
      <c r="N85" s="1"/>
      <c r="O85" s="1"/>
      <c r="P85" s="1"/>
      <c r="Q85" s="1"/>
    </row>
    <row r="86" spans="1:17" x14ac:dyDescent="0.25">
      <c r="A86" s="1"/>
      <c r="B86" s="1"/>
      <c r="C86" s="1"/>
      <c r="D86" s="1"/>
      <c r="E86" s="1"/>
      <c r="F86" s="1"/>
      <c r="G86" s="1"/>
      <c r="H86" s="2"/>
      <c r="I86" s="2"/>
      <c r="J86" s="2"/>
      <c r="K86" s="1"/>
      <c r="L86" s="1"/>
      <c r="M86" s="1"/>
      <c r="N86" s="1"/>
      <c r="O86" s="1"/>
      <c r="P86" s="1"/>
      <c r="Q86" s="1"/>
    </row>
    <row r="87" spans="1:17" x14ac:dyDescent="0.25">
      <c r="A87" s="1"/>
      <c r="B87" s="1"/>
      <c r="C87" s="1"/>
      <c r="D87" s="1"/>
      <c r="E87" s="1"/>
      <c r="F87" s="1"/>
      <c r="G87" s="1"/>
      <c r="H87" s="2"/>
      <c r="I87" s="2"/>
      <c r="J87" s="2"/>
      <c r="K87" s="1"/>
      <c r="L87" s="1"/>
      <c r="M87" s="1"/>
      <c r="N87" s="1"/>
      <c r="O87" s="1"/>
      <c r="P87" s="1"/>
      <c r="Q87" s="1"/>
    </row>
    <row r="88" spans="1:17" x14ac:dyDescent="0.25">
      <c r="A88" s="1"/>
      <c r="B88" s="1"/>
      <c r="C88" s="1"/>
      <c r="D88" s="1"/>
      <c r="E88" s="1"/>
      <c r="F88" s="1"/>
      <c r="G88" s="1"/>
      <c r="H88" s="2"/>
      <c r="I88" s="2"/>
      <c r="J88" s="2"/>
      <c r="K88" s="1"/>
      <c r="L88" s="1"/>
      <c r="M88" s="1"/>
      <c r="N88" s="1"/>
      <c r="O88" s="1"/>
      <c r="P88" s="1"/>
      <c r="Q88" s="1"/>
    </row>
    <row r="89" spans="1:17" x14ac:dyDescent="0.25">
      <c r="A89" s="1"/>
      <c r="B89" s="1"/>
      <c r="C89" s="1"/>
      <c r="D89" s="1"/>
      <c r="E89" s="1"/>
      <c r="F89" s="1"/>
      <c r="G89" s="1"/>
      <c r="H89" s="2"/>
      <c r="I89" s="2"/>
      <c r="J89" s="2"/>
      <c r="K89" s="1"/>
      <c r="L89" s="1"/>
      <c r="M89" s="1"/>
      <c r="N89" s="1"/>
      <c r="O89" s="1"/>
      <c r="P89" s="1"/>
      <c r="Q89" s="1"/>
    </row>
    <row r="90" spans="1:17" x14ac:dyDescent="0.25">
      <c r="A90" s="1"/>
      <c r="B90" s="1"/>
      <c r="C90" s="1"/>
      <c r="D90" s="1"/>
      <c r="E90" s="1"/>
      <c r="F90" s="1"/>
      <c r="G90" s="1"/>
      <c r="H90" s="2"/>
      <c r="I90" s="2"/>
      <c r="J90" s="2"/>
      <c r="K90" s="1"/>
      <c r="L90" s="1"/>
      <c r="M90" s="1"/>
      <c r="N90" s="1"/>
      <c r="O90" s="1"/>
      <c r="P90" s="1"/>
      <c r="Q90" s="1"/>
    </row>
    <row r="91" spans="1:17" x14ac:dyDescent="0.25">
      <c r="A91" s="1"/>
      <c r="B91" s="1"/>
      <c r="C91" s="1"/>
      <c r="D91" s="1"/>
      <c r="E91" s="1"/>
      <c r="F91" s="1"/>
      <c r="G91" s="1"/>
      <c r="H91" s="2"/>
      <c r="I91" s="2"/>
      <c r="J91" s="2"/>
      <c r="K91" s="1"/>
      <c r="L91" s="1"/>
      <c r="M91" s="1"/>
      <c r="N91" s="1"/>
      <c r="O91" s="1"/>
      <c r="P91" s="1"/>
      <c r="Q91" s="1"/>
    </row>
    <row r="92" spans="1:17" x14ac:dyDescent="0.25">
      <c r="A92" s="1"/>
      <c r="B92" s="1"/>
      <c r="C92" s="1"/>
      <c r="D92" s="1"/>
      <c r="E92" s="1"/>
      <c r="F92" s="1"/>
      <c r="G92" s="1"/>
      <c r="H92" s="2"/>
      <c r="I92" s="2"/>
      <c r="J92" s="2"/>
      <c r="K92" s="1"/>
      <c r="L92" s="1"/>
      <c r="M92" s="1"/>
      <c r="N92" s="1"/>
      <c r="O92" s="1"/>
      <c r="P92" s="1"/>
      <c r="Q92" s="1"/>
    </row>
    <row r="93" spans="1:17" x14ac:dyDescent="0.25">
      <c r="A93" s="1"/>
      <c r="B93" s="1"/>
      <c r="C93" s="1"/>
      <c r="D93" s="1"/>
      <c r="E93" s="1"/>
      <c r="F93" s="1"/>
      <c r="G93" s="1"/>
      <c r="H93" s="2"/>
      <c r="I93" s="2"/>
      <c r="J93" s="2"/>
      <c r="K93" s="1"/>
      <c r="L93" s="1"/>
      <c r="M93" s="1"/>
      <c r="N93" s="1"/>
      <c r="O93" s="1"/>
      <c r="P93" s="1"/>
      <c r="Q93" s="1"/>
    </row>
    <row r="94" spans="1:17" x14ac:dyDescent="0.25">
      <c r="A94" s="1"/>
      <c r="B94" s="1"/>
      <c r="C94" s="1"/>
      <c r="D94" s="1"/>
      <c r="E94" s="1"/>
      <c r="F94" s="1"/>
      <c r="G94" s="1"/>
      <c r="H94" s="2"/>
      <c r="I94" s="2"/>
      <c r="J94" s="2"/>
      <c r="K94" s="1"/>
      <c r="L94" s="1"/>
      <c r="M94" s="1"/>
      <c r="N94" s="1"/>
      <c r="O94" s="1"/>
      <c r="P94" s="1"/>
      <c r="Q94" s="1"/>
    </row>
    <row r="95" spans="1:17" x14ac:dyDescent="0.25">
      <c r="A95" s="1"/>
      <c r="B95" s="1"/>
      <c r="C95" s="1"/>
      <c r="D95" s="1"/>
      <c r="E95" s="1"/>
      <c r="F95" s="1"/>
      <c r="G95" s="1"/>
      <c r="H95" s="2"/>
      <c r="I95" s="2"/>
      <c r="J95" s="2"/>
      <c r="K95" s="1"/>
      <c r="L95" s="1"/>
      <c r="M95" s="1"/>
      <c r="N95" s="1"/>
      <c r="O95" s="1"/>
      <c r="P95" s="1"/>
      <c r="Q95" s="1"/>
    </row>
    <row r="96" spans="1:17" x14ac:dyDescent="0.25">
      <c r="A96" s="1"/>
      <c r="B96" s="1"/>
      <c r="C96" s="1"/>
      <c r="D96" s="1"/>
      <c r="E96" s="1"/>
      <c r="F96" s="1"/>
      <c r="G96" s="1"/>
      <c r="H96" s="2"/>
      <c r="I96" s="2"/>
      <c r="J96" s="2"/>
      <c r="K96" s="1"/>
      <c r="L96" s="1"/>
      <c r="M96" s="1"/>
      <c r="N96" s="1"/>
      <c r="O96" s="1"/>
      <c r="P96" s="1"/>
      <c r="Q96" s="1"/>
    </row>
    <row r="97" spans="1:17" x14ac:dyDescent="0.25">
      <c r="A97" s="1"/>
      <c r="B97" s="1"/>
      <c r="C97" s="1"/>
      <c r="D97" s="1"/>
      <c r="E97" s="1"/>
      <c r="F97" s="1"/>
      <c r="G97" s="1"/>
      <c r="H97" s="2"/>
      <c r="I97" s="2"/>
      <c r="J97" s="2"/>
      <c r="K97" s="1"/>
      <c r="L97" s="1"/>
      <c r="M97" s="1"/>
      <c r="N97" s="1"/>
      <c r="O97" s="1"/>
      <c r="P97" s="1"/>
      <c r="Q97" s="1"/>
    </row>
    <row r="98" spans="1:1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5">
      <c r="A99" s="1"/>
      <c r="B99" s="1"/>
      <c r="C99" s="1"/>
      <c r="D99" s="1"/>
      <c r="E99" s="1"/>
      <c r="F99" s="1"/>
      <c r="G99" s="1"/>
      <c r="H99" s="2"/>
      <c r="I99" s="2"/>
      <c r="J99" s="2"/>
      <c r="K99" s="1"/>
      <c r="L99" s="1"/>
      <c r="M99" s="1"/>
      <c r="N99" s="1"/>
      <c r="O99" s="1"/>
      <c r="P99" s="1"/>
      <c r="Q99" s="1"/>
    </row>
    <row r="100" spans="1:17" x14ac:dyDescent="0.25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5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5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1"/>
      <c r="L102" s="1"/>
      <c r="M102" s="1"/>
      <c r="N102" s="1"/>
      <c r="O102" s="1"/>
      <c r="P102" s="1"/>
      <c r="Q102" s="1"/>
    </row>
    <row r="103" spans="1:17" x14ac:dyDescent="0.25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1"/>
      <c r="L103" s="1"/>
      <c r="M103" s="1"/>
      <c r="N103" s="1"/>
      <c r="O103" s="1"/>
      <c r="P103" s="1"/>
      <c r="Q103" s="1"/>
    </row>
    <row r="104" spans="1:17" x14ac:dyDescent="0.25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1"/>
      <c r="L104" s="1"/>
      <c r="M104" s="1"/>
      <c r="N104" s="1"/>
      <c r="O104" s="1"/>
      <c r="P104" s="1"/>
      <c r="Q104" s="1"/>
    </row>
    <row r="105" spans="1:17" x14ac:dyDescent="0.25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1"/>
      <c r="L105" s="1"/>
      <c r="M105" s="1"/>
      <c r="N105" s="1"/>
      <c r="O105" s="1"/>
      <c r="P105" s="1"/>
      <c r="Q105" s="1"/>
    </row>
    <row r="106" spans="1:17" x14ac:dyDescent="0.25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1"/>
      <c r="L106" s="1"/>
      <c r="M106" s="1"/>
      <c r="N106" s="1"/>
      <c r="O106" s="1"/>
      <c r="P106" s="1"/>
      <c r="Q106" s="1"/>
    </row>
    <row r="107" spans="1:17" x14ac:dyDescent="0.25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1"/>
      <c r="L107" s="1"/>
      <c r="M107" s="1"/>
      <c r="N107" s="1"/>
      <c r="O107" s="1"/>
      <c r="P107" s="1"/>
      <c r="Q107" s="1"/>
    </row>
    <row r="108" spans="1:17" x14ac:dyDescent="0.25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1"/>
      <c r="L108" s="1"/>
      <c r="M108" s="1"/>
      <c r="N108" s="1"/>
      <c r="O108" s="1"/>
      <c r="P108" s="1"/>
      <c r="Q108" s="1"/>
    </row>
    <row r="109" spans="1:17" x14ac:dyDescent="0.25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1"/>
      <c r="L109" s="1"/>
      <c r="M109" s="1"/>
      <c r="N109" s="1"/>
      <c r="O109" s="1"/>
      <c r="P109" s="1"/>
      <c r="Q109" s="1"/>
    </row>
    <row r="110" spans="1:17" x14ac:dyDescent="0.25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1"/>
      <c r="L110" s="1"/>
      <c r="M110" s="1"/>
      <c r="N110" s="1"/>
      <c r="O110" s="1"/>
      <c r="P110" s="1"/>
      <c r="Q110" s="1"/>
    </row>
    <row r="111" spans="1:17" x14ac:dyDescent="0.25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1"/>
      <c r="L111" s="1"/>
      <c r="M111" s="1"/>
      <c r="N111" s="1"/>
      <c r="O111" s="1"/>
      <c r="P111" s="1"/>
      <c r="Q111" s="1"/>
    </row>
    <row r="112" spans="1:17" x14ac:dyDescent="0.25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25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25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1"/>
      <c r="L114" s="1"/>
      <c r="M114" s="1"/>
      <c r="N114" s="1"/>
      <c r="O114" s="1"/>
      <c r="P114" s="1"/>
      <c r="Q114" s="1"/>
    </row>
    <row r="115" spans="1:17" x14ac:dyDescent="0.25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1"/>
      <c r="L115" s="1"/>
      <c r="M115" s="1"/>
      <c r="N115" s="1"/>
      <c r="O115" s="1"/>
      <c r="P115" s="1"/>
      <c r="Q115" s="1"/>
    </row>
    <row r="116" spans="1:17" x14ac:dyDescent="0.25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1"/>
      <c r="L116" s="1"/>
      <c r="M116" s="1"/>
      <c r="N116" s="1"/>
      <c r="O116" s="1"/>
      <c r="P116" s="1"/>
      <c r="Q116" s="1"/>
    </row>
    <row r="117" spans="1:17" x14ac:dyDescent="0.25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25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1"/>
      <c r="L118" s="1"/>
      <c r="M118" s="1"/>
      <c r="N118" s="1"/>
      <c r="O118" s="1"/>
      <c r="P118" s="1"/>
      <c r="Q118" s="1"/>
    </row>
    <row r="119" spans="1:17" x14ac:dyDescent="0.25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1"/>
      <c r="L119" s="1"/>
      <c r="M119" s="1"/>
      <c r="N119" s="1"/>
      <c r="O119" s="1"/>
      <c r="P119" s="1"/>
      <c r="Q119" s="1"/>
    </row>
    <row r="120" spans="1:17" x14ac:dyDescent="0.25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1"/>
      <c r="L120" s="1"/>
      <c r="M120" s="1"/>
      <c r="N120" s="1"/>
      <c r="O120" s="1"/>
      <c r="P120" s="1"/>
      <c r="Q120" s="1"/>
    </row>
    <row r="121" spans="1:17" x14ac:dyDescent="0.25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1"/>
      <c r="L121" s="1"/>
      <c r="M121" s="1"/>
      <c r="N121" s="1"/>
      <c r="O121" s="1"/>
      <c r="P121" s="1"/>
      <c r="Q121" s="1"/>
    </row>
    <row r="122" spans="1:17" x14ac:dyDescent="0.25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1"/>
      <c r="L122" s="1"/>
      <c r="M122" s="1"/>
      <c r="N122" s="1"/>
      <c r="O122" s="1"/>
      <c r="P122" s="1"/>
      <c r="Q122" s="1"/>
    </row>
    <row r="123" spans="1:17" x14ac:dyDescent="0.25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1"/>
      <c r="L123" s="1"/>
      <c r="M123" s="1"/>
      <c r="N123" s="1"/>
      <c r="O123" s="1"/>
      <c r="P123" s="1"/>
      <c r="Q123" s="1"/>
    </row>
    <row r="124" spans="1:17" x14ac:dyDescent="0.25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1"/>
      <c r="L124" s="1"/>
      <c r="M124" s="1"/>
      <c r="N124" s="1"/>
      <c r="O124" s="1"/>
      <c r="P124" s="1"/>
      <c r="Q124" s="1"/>
    </row>
    <row r="125" spans="1:17" x14ac:dyDescent="0.25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1"/>
      <c r="L125" s="1"/>
      <c r="M125" s="1"/>
      <c r="N125" s="1"/>
      <c r="O125" s="1"/>
      <c r="P125" s="1"/>
      <c r="Q125" s="1"/>
    </row>
    <row r="126" spans="1:17" x14ac:dyDescent="0.25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1"/>
      <c r="L126" s="1"/>
      <c r="M126" s="1"/>
      <c r="N126" s="1"/>
      <c r="O126" s="1"/>
      <c r="P126" s="1"/>
      <c r="Q126" s="1"/>
    </row>
    <row r="127" spans="1:17" x14ac:dyDescent="0.25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1"/>
      <c r="L127" s="1"/>
      <c r="M127" s="1"/>
      <c r="N127" s="1"/>
      <c r="O127" s="1"/>
      <c r="P127" s="1"/>
      <c r="Q127" s="1"/>
    </row>
    <row r="128" spans="1:17" x14ac:dyDescent="0.25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1"/>
      <c r="L128" s="1"/>
      <c r="M128" s="1"/>
      <c r="N128" s="1"/>
      <c r="O128" s="1"/>
      <c r="P128" s="1"/>
      <c r="Q128" s="1"/>
    </row>
    <row r="129" spans="1:17" x14ac:dyDescent="0.25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1"/>
      <c r="L129" s="1"/>
      <c r="M129" s="1"/>
      <c r="N129" s="1"/>
      <c r="O129" s="1"/>
      <c r="P129" s="1"/>
      <c r="Q129" s="1"/>
    </row>
    <row r="130" spans="1:17" x14ac:dyDescent="0.25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1"/>
      <c r="L130" s="1"/>
      <c r="M130" s="1"/>
      <c r="N130" s="1"/>
      <c r="O130" s="1"/>
      <c r="P130" s="1"/>
      <c r="Q130" s="1"/>
    </row>
    <row r="131" spans="1:17" x14ac:dyDescent="0.25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1"/>
      <c r="L131" s="1"/>
      <c r="M131" s="1"/>
      <c r="N131" s="1"/>
      <c r="O131" s="1"/>
      <c r="P131" s="1"/>
      <c r="Q131" s="1"/>
    </row>
    <row r="132" spans="1:17" x14ac:dyDescent="0.25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1"/>
      <c r="L132" s="1"/>
      <c r="M132" s="1"/>
      <c r="N132" s="1"/>
      <c r="O132" s="1"/>
      <c r="P132" s="1"/>
      <c r="Q132" s="1"/>
    </row>
    <row r="133" spans="1:17" x14ac:dyDescent="0.25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1"/>
      <c r="L133" s="1"/>
      <c r="M133" s="1"/>
      <c r="N133" s="1"/>
      <c r="O133" s="1"/>
      <c r="P133" s="1"/>
      <c r="Q133" s="1"/>
    </row>
    <row r="134" spans="1:17" x14ac:dyDescent="0.25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1"/>
      <c r="L134" s="1"/>
      <c r="M134" s="1"/>
      <c r="N134" s="1"/>
      <c r="O134" s="1"/>
      <c r="P134" s="1"/>
      <c r="Q134" s="1"/>
    </row>
    <row r="135" spans="1:17" x14ac:dyDescent="0.25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1"/>
      <c r="L135" s="1"/>
      <c r="M135" s="1"/>
      <c r="N135" s="1"/>
      <c r="O135" s="1"/>
      <c r="P135" s="1"/>
      <c r="Q135" s="1"/>
    </row>
    <row r="136" spans="1:17" x14ac:dyDescent="0.25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1"/>
      <c r="L136" s="1"/>
      <c r="M136" s="1"/>
      <c r="N136" s="1"/>
      <c r="O136" s="1"/>
      <c r="P136" s="1"/>
      <c r="Q136" s="1"/>
    </row>
    <row r="137" spans="1:17" x14ac:dyDescent="0.25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1"/>
      <c r="L137" s="1"/>
      <c r="M137" s="1"/>
      <c r="N137" s="1"/>
      <c r="O137" s="1"/>
      <c r="P137" s="1"/>
      <c r="Q137" s="1"/>
    </row>
    <row r="138" spans="1:17" x14ac:dyDescent="0.25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1"/>
      <c r="L138" s="1"/>
      <c r="M138" s="1"/>
      <c r="N138" s="1"/>
      <c r="O138" s="1"/>
      <c r="P138" s="1"/>
      <c r="Q138" s="1"/>
    </row>
    <row r="139" spans="1:17" x14ac:dyDescent="0.25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1"/>
      <c r="L139" s="1"/>
      <c r="M139" s="1"/>
      <c r="N139" s="1"/>
      <c r="O139" s="1"/>
      <c r="P139" s="1"/>
      <c r="Q139" s="1"/>
    </row>
    <row r="140" spans="1:17" x14ac:dyDescent="0.25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1"/>
      <c r="L140" s="1"/>
      <c r="M140" s="1"/>
      <c r="N140" s="1"/>
      <c r="O140" s="1"/>
      <c r="P140" s="1"/>
      <c r="Q140" s="1"/>
    </row>
    <row r="141" spans="1:17" x14ac:dyDescent="0.25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1"/>
      <c r="L141" s="1"/>
      <c r="M141" s="1"/>
      <c r="N141" s="1"/>
      <c r="O141" s="1"/>
      <c r="P141" s="1"/>
      <c r="Q141" s="1"/>
    </row>
    <row r="142" spans="1:17" x14ac:dyDescent="0.25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1"/>
      <c r="L142" s="1"/>
      <c r="M142" s="1"/>
      <c r="N142" s="1"/>
      <c r="O142" s="1"/>
      <c r="P142" s="1"/>
      <c r="Q142" s="1"/>
    </row>
    <row r="143" spans="1:17" x14ac:dyDescent="0.25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1"/>
      <c r="L143" s="1"/>
      <c r="M143" s="1"/>
      <c r="N143" s="1"/>
      <c r="O143" s="1"/>
      <c r="P143" s="1"/>
      <c r="Q143" s="1"/>
    </row>
    <row r="144" spans="1:17" x14ac:dyDescent="0.25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1"/>
      <c r="L144" s="1"/>
      <c r="M144" s="1"/>
      <c r="N144" s="1"/>
      <c r="O144" s="1"/>
      <c r="P144" s="1"/>
      <c r="Q144" s="1"/>
    </row>
    <row r="145" spans="1:17" x14ac:dyDescent="0.25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1"/>
      <c r="L145" s="1"/>
      <c r="M145" s="1"/>
      <c r="N145" s="1"/>
      <c r="O145" s="1"/>
      <c r="P145" s="1"/>
      <c r="Q145" s="1"/>
    </row>
    <row r="146" spans="1:17" x14ac:dyDescent="0.25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1"/>
      <c r="L146" s="1"/>
      <c r="M146" s="1"/>
      <c r="N146" s="1"/>
      <c r="O146" s="1"/>
      <c r="P146" s="1"/>
      <c r="Q146" s="1"/>
    </row>
    <row r="147" spans="1:17" x14ac:dyDescent="0.25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1"/>
      <c r="L147" s="1"/>
      <c r="M147" s="1"/>
      <c r="N147" s="1"/>
      <c r="O147" s="1"/>
      <c r="P147" s="1"/>
      <c r="Q147" s="1"/>
    </row>
    <row r="148" spans="1:17" x14ac:dyDescent="0.25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1"/>
      <c r="L148" s="1"/>
      <c r="M148" s="1"/>
      <c r="N148" s="1"/>
      <c r="O148" s="1"/>
      <c r="P148" s="1"/>
      <c r="Q148" s="1"/>
    </row>
    <row r="149" spans="1:17" x14ac:dyDescent="0.25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1"/>
      <c r="L149" s="1"/>
      <c r="M149" s="1"/>
      <c r="N149" s="1"/>
      <c r="O149" s="1"/>
      <c r="P149" s="1"/>
      <c r="Q149" s="1"/>
    </row>
    <row r="150" spans="1:17" x14ac:dyDescent="0.25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1"/>
      <c r="L150" s="1"/>
      <c r="M150" s="1"/>
      <c r="N150" s="1"/>
      <c r="O150" s="1"/>
      <c r="P150" s="1"/>
      <c r="Q150" s="1"/>
    </row>
    <row r="151" spans="1:17" x14ac:dyDescent="0.25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1"/>
      <c r="L151" s="1"/>
      <c r="M151" s="1"/>
      <c r="N151" s="1"/>
      <c r="O151" s="1"/>
      <c r="P151" s="1"/>
      <c r="Q151" s="1"/>
    </row>
    <row r="152" spans="1:17" x14ac:dyDescent="0.25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1"/>
      <c r="L152" s="1"/>
      <c r="M152" s="1"/>
      <c r="N152" s="1"/>
      <c r="O152" s="1"/>
      <c r="P152" s="1"/>
      <c r="Q152" s="1"/>
    </row>
    <row r="153" spans="1:17" x14ac:dyDescent="0.25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1"/>
      <c r="L153" s="1"/>
      <c r="M153" s="1"/>
      <c r="N153" s="1"/>
      <c r="O153" s="1"/>
      <c r="P153" s="1"/>
      <c r="Q153" s="1"/>
    </row>
    <row r="154" spans="1:17" x14ac:dyDescent="0.25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1"/>
      <c r="L154" s="1"/>
      <c r="M154" s="1"/>
      <c r="N154" s="1"/>
      <c r="O154" s="1"/>
      <c r="P154" s="1"/>
      <c r="Q154" s="1"/>
    </row>
    <row r="155" spans="1:17" x14ac:dyDescent="0.25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1"/>
      <c r="L155" s="1"/>
      <c r="M155" s="1"/>
      <c r="N155" s="1"/>
      <c r="O155" s="1"/>
      <c r="P155" s="1"/>
      <c r="Q155" s="1"/>
    </row>
    <row r="156" spans="1:17" x14ac:dyDescent="0.25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1"/>
      <c r="L156" s="1"/>
      <c r="M156" s="1"/>
      <c r="N156" s="1"/>
      <c r="O156" s="1"/>
      <c r="P156" s="1"/>
      <c r="Q156" s="1"/>
    </row>
    <row r="157" spans="1:17" x14ac:dyDescent="0.25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1"/>
      <c r="L157" s="1"/>
      <c r="M157" s="1"/>
      <c r="N157" s="1"/>
      <c r="O157" s="1"/>
      <c r="P157" s="1"/>
      <c r="Q157" s="1"/>
    </row>
    <row r="158" spans="1:17" x14ac:dyDescent="0.25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1"/>
      <c r="L158" s="1"/>
      <c r="M158" s="1"/>
      <c r="N158" s="1"/>
      <c r="O158" s="1"/>
      <c r="P158" s="1"/>
      <c r="Q158" s="1"/>
    </row>
    <row r="159" spans="1:17" x14ac:dyDescent="0.25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1"/>
      <c r="L159" s="1"/>
      <c r="M159" s="1"/>
      <c r="N159" s="1"/>
      <c r="O159" s="1"/>
      <c r="P159" s="1"/>
      <c r="Q159" s="1"/>
    </row>
    <row r="160" spans="1:17" x14ac:dyDescent="0.25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1"/>
      <c r="L160" s="1"/>
      <c r="M160" s="1"/>
      <c r="N160" s="1"/>
      <c r="O160" s="1"/>
      <c r="P160" s="1"/>
      <c r="Q160" s="1"/>
    </row>
    <row r="161" spans="1:17" x14ac:dyDescent="0.25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1"/>
      <c r="L161" s="1"/>
      <c r="M161" s="1"/>
      <c r="N161" s="1"/>
      <c r="O161" s="1"/>
      <c r="P161" s="1"/>
      <c r="Q161" s="1"/>
    </row>
    <row r="162" spans="1:17" x14ac:dyDescent="0.25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1"/>
      <c r="L162" s="1"/>
      <c r="M162" s="1"/>
      <c r="N162" s="1"/>
      <c r="O162" s="1"/>
      <c r="P162" s="1"/>
      <c r="Q162" s="1"/>
    </row>
    <row r="163" spans="1:17" x14ac:dyDescent="0.25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1"/>
      <c r="L163" s="1"/>
      <c r="M163" s="1"/>
      <c r="N163" s="1"/>
      <c r="O163" s="1"/>
      <c r="P163" s="1"/>
      <c r="Q163" s="1"/>
    </row>
    <row r="164" spans="1:17" x14ac:dyDescent="0.25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1"/>
      <c r="L164" s="1"/>
      <c r="M164" s="1"/>
      <c r="N164" s="1"/>
      <c r="O164" s="1"/>
      <c r="P164" s="1"/>
      <c r="Q164" s="1"/>
    </row>
    <row r="165" spans="1:17" x14ac:dyDescent="0.25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1"/>
      <c r="L165" s="1"/>
      <c r="M165" s="1"/>
      <c r="N165" s="1"/>
      <c r="O165" s="1"/>
      <c r="P165" s="1"/>
      <c r="Q165" s="1"/>
    </row>
    <row r="166" spans="1:17" x14ac:dyDescent="0.25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1"/>
      <c r="L166" s="1"/>
      <c r="M166" s="1"/>
      <c r="N166" s="1"/>
      <c r="O166" s="1"/>
      <c r="P166" s="1"/>
      <c r="Q166" s="1"/>
    </row>
    <row r="167" spans="1:17" x14ac:dyDescent="0.25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1"/>
      <c r="L167" s="1"/>
      <c r="M167" s="1"/>
      <c r="N167" s="1"/>
      <c r="O167" s="1"/>
      <c r="P167" s="1"/>
      <c r="Q167" s="1"/>
    </row>
    <row r="168" spans="1:17" x14ac:dyDescent="0.25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1"/>
      <c r="L168" s="1"/>
      <c r="M168" s="1"/>
      <c r="N168" s="1"/>
      <c r="O168" s="1"/>
      <c r="P168" s="1"/>
      <c r="Q168" s="1"/>
    </row>
    <row r="169" spans="1:17" x14ac:dyDescent="0.25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1"/>
      <c r="L169" s="1"/>
      <c r="M169" s="1"/>
      <c r="N169" s="1"/>
      <c r="O169" s="1"/>
      <c r="P169" s="1"/>
      <c r="Q169" s="1"/>
    </row>
    <row r="170" spans="1:17" x14ac:dyDescent="0.25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1"/>
      <c r="L170" s="1"/>
      <c r="M170" s="1"/>
      <c r="N170" s="1"/>
      <c r="O170" s="1"/>
      <c r="P170" s="1"/>
      <c r="Q170" s="1"/>
    </row>
    <row r="171" spans="1:17" x14ac:dyDescent="0.25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1"/>
      <c r="L171" s="1"/>
      <c r="M171" s="1"/>
      <c r="N171" s="1"/>
      <c r="O171" s="1"/>
      <c r="P171" s="1"/>
      <c r="Q171" s="1"/>
    </row>
    <row r="172" spans="1:17" x14ac:dyDescent="0.25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1"/>
      <c r="L172" s="1"/>
      <c r="M172" s="1"/>
      <c r="N172" s="1"/>
      <c r="O172" s="1"/>
      <c r="P172" s="1"/>
      <c r="Q172" s="1"/>
    </row>
    <row r="173" spans="1:17" x14ac:dyDescent="0.25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1"/>
      <c r="L173" s="1"/>
      <c r="M173" s="1"/>
      <c r="N173" s="1"/>
      <c r="O173" s="1"/>
      <c r="P173" s="1"/>
      <c r="Q173" s="1"/>
    </row>
    <row r="174" spans="1:17" x14ac:dyDescent="0.25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1"/>
      <c r="L174" s="1"/>
      <c r="M174" s="1"/>
      <c r="N174" s="1"/>
      <c r="O174" s="1"/>
      <c r="P174" s="1"/>
      <c r="Q174" s="1"/>
    </row>
    <row r="175" spans="1:17" x14ac:dyDescent="0.25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1"/>
      <c r="L175" s="1"/>
      <c r="M175" s="1"/>
      <c r="N175" s="1"/>
      <c r="O175" s="1"/>
      <c r="P175" s="1"/>
      <c r="Q175" s="1"/>
    </row>
    <row r="176" spans="1:17" x14ac:dyDescent="0.25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1"/>
      <c r="L176" s="1"/>
      <c r="M176" s="1"/>
      <c r="N176" s="1"/>
      <c r="O176" s="1"/>
      <c r="P176" s="1"/>
      <c r="Q176" s="1"/>
    </row>
    <row r="177" spans="1:17" x14ac:dyDescent="0.25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1"/>
      <c r="L177" s="1"/>
      <c r="M177" s="1"/>
      <c r="N177" s="1"/>
      <c r="O177" s="1"/>
      <c r="P177" s="1"/>
      <c r="Q177" s="1"/>
    </row>
    <row r="178" spans="1:17" x14ac:dyDescent="0.25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1"/>
      <c r="L178" s="1"/>
      <c r="M178" s="1"/>
      <c r="N178" s="1"/>
      <c r="O178" s="1"/>
      <c r="P178" s="1"/>
      <c r="Q178" s="1"/>
    </row>
    <row r="179" spans="1:17" x14ac:dyDescent="0.25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1"/>
      <c r="L179" s="1"/>
      <c r="M179" s="1"/>
      <c r="N179" s="1"/>
      <c r="O179" s="1"/>
      <c r="P179" s="1"/>
      <c r="Q179" s="1"/>
    </row>
    <row r="180" spans="1:17" x14ac:dyDescent="0.25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1"/>
      <c r="L180" s="1"/>
      <c r="M180" s="1"/>
      <c r="N180" s="1"/>
      <c r="O180" s="1"/>
      <c r="P180" s="1"/>
      <c r="Q180" s="1"/>
    </row>
    <row r="181" spans="1:17" x14ac:dyDescent="0.25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1"/>
      <c r="L181" s="1"/>
      <c r="M181" s="1"/>
      <c r="N181" s="1"/>
      <c r="O181" s="1"/>
      <c r="P181" s="1"/>
      <c r="Q181" s="1"/>
    </row>
    <row r="182" spans="1:17" x14ac:dyDescent="0.25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1"/>
      <c r="L182" s="1"/>
      <c r="M182" s="1"/>
      <c r="N182" s="1"/>
      <c r="O182" s="1"/>
      <c r="P182" s="1"/>
      <c r="Q182" s="1"/>
    </row>
    <row r="183" spans="1:17" x14ac:dyDescent="0.25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1"/>
      <c r="L183" s="1"/>
      <c r="M183" s="1"/>
      <c r="N183" s="1"/>
      <c r="O183" s="1"/>
      <c r="P183" s="1"/>
      <c r="Q183" s="1"/>
    </row>
    <row r="184" spans="1:17" x14ac:dyDescent="0.25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1"/>
      <c r="L184" s="1"/>
      <c r="M184" s="1"/>
      <c r="N184" s="1"/>
      <c r="O184" s="1"/>
      <c r="P184" s="1"/>
      <c r="Q184" s="1"/>
    </row>
    <row r="185" spans="1:17" x14ac:dyDescent="0.25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1"/>
      <c r="L185" s="1"/>
      <c r="M185" s="1"/>
      <c r="N185" s="1"/>
      <c r="O185" s="1"/>
      <c r="P185" s="1"/>
      <c r="Q185" s="1"/>
    </row>
    <row r="186" spans="1:17" x14ac:dyDescent="0.25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1"/>
      <c r="L186" s="1"/>
      <c r="M186" s="1"/>
      <c r="N186" s="1"/>
      <c r="O186" s="1"/>
      <c r="P186" s="1"/>
      <c r="Q186" s="1"/>
    </row>
    <row r="187" spans="1:17" x14ac:dyDescent="0.25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1"/>
      <c r="L187" s="1"/>
      <c r="M187" s="1"/>
      <c r="N187" s="1"/>
      <c r="O187" s="1"/>
      <c r="P187" s="1"/>
      <c r="Q187" s="1"/>
    </row>
    <row r="188" spans="1:17" x14ac:dyDescent="0.25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1"/>
      <c r="L188" s="1"/>
      <c r="M188" s="1"/>
      <c r="N188" s="1"/>
      <c r="O188" s="1"/>
      <c r="P188" s="1"/>
      <c r="Q188" s="1"/>
    </row>
    <row r="189" spans="1:17" x14ac:dyDescent="0.25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1"/>
      <c r="L189" s="1"/>
      <c r="M189" s="1"/>
      <c r="N189" s="1"/>
      <c r="O189" s="1"/>
      <c r="P189" s="1"/>
      <c r="Q189" s="1"/>
    </row>
    <row r="190" spans="1:17" x14ac:dyDescent="0.25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1"/>
      <c r="L190" s="1"/>
      <c r="M190" s="1"/>
      <c r="N190" s="1"/>
      <c r="O190" s="1"/>
      <c r="P190" s="1"/>
      <c r="Q190" s="1"/>
    </row>
    <row r="191" spans="1:17" x14ac:dyDescent="0.25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1"/>
      <c r="L191" s="1"/>
      <c r="M191" s="1"/>
      <c r="N191" s="1"/>
      <c r="O191" s="1"/>
      <c r="P191" s="1"/>
      <c r="Q191" s="1"/>
    </row>
    <row r="192" spans="1:17" x14ac:dyDescent="0.25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1"/>
      <c r="L192" s="1"/>
      <c r="M192" s="1"/>
      <c r="N192" s="1"/>
      <c r="O192" s="1"/>
      <c r="P192" s="1"/>
      <c r="Q192" s="1"/>
    </row>
    <row r="193" spans="1:17" x14ac:dyDescent="0.25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1"/>
      <c r="L193" s="1"/>
      <c r="M193" s="1"/>
      <c r="N193" s="1"/>
      <c r="O193" s="1"/>
      <c r="P193" s="1"/>
      <c r="Q193" s="1"/>
    </row>
    <row r="194" spans="1:17" x14ac:dyDescent="0.25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1"/>
      <c r="L194" s="1"/>
      <c r="M194" s="1"/>
      <c r="N194" s="1"/>
      <c r="O194" s="1"/>
      <c r="P194" s="1"/>
      <c r="Q194" s="1"/>
    </row>
    <row r="195" spans="1:17" x14ac:dyDescent="0.25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1"/>
      <c r="L195" s="1"/>
      <c r="M195" s="1"/>
      <c r="N195" s="1"/>
      <c r="O195" s="1"/>
      <c r="P195" s="1"/>
      <c r="Q195" s="1"/>
    </row>
    <row r="196" spans="1:17" x14ac:dyDescent="0.25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1"/>
      <c r="L196" s="1"/>
      <c r="M196" s="1"/>
      <c r="N196" s="1"/>
      <c r="O196" s="1"/>
      <c r="P196" s="1"/>
      <c r="Q196" s="1"/>
    </row>
    <row r="197" spans="1:17" x14ac:dyDescent="0.25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1"/>
      <c r="L197" s="1"/>
      <c r="M197" s="1"/>
      <c r="N197" s="1"/>
      <c r="O197" s="1"/>
      <c r="P197" s="1"/>
      <c r="Q197" s="1"/>
    </row>
    <row r="198" spans="1:17" x14ac:dyDescent="0.25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1"/>
      <c r="L198" s="1"/>
      <c r="M198" s="1"/>
      <c r="N198" s="1"/>
      <c r="O198" s="1"/>
      <c r="P198" s="1"/>
      <c r="Q198" s="1"/>
    </row>
    <row r="199" spans="1:17" x14ac:dyDescent="0.25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1"/>
      <c r="L199" s="1"/>
      <c r="M199" s="1"/>
      <c r="N199" s="1"/>
      <c r="O199" s="1"/>
      <c r="P199" s="1"/>
      <c r="Q199" s="1"/>
    </row>
    <row r="200" spans="1:17" x14ac:dyDescent="0.25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1"/>
      <c r="L200" s="1"/>
      <c r="M200" s="1"/>
      <c r="N200" s="1"/>
      <c r="O200" s="1"/>
      <c r="P200" s="1"/>
      <c r="Q200" s="1"/>
    </row>
    <row r="201" spans="1:17" x14ac:dyDescent="0.25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1"/>
      <c r="L201" s="1"/>
      <c r="M201" s="1"/>
      <c r="N201" s="1"/>
      <c r="O201" s="1"/>
      <c r="P201" s="1"/>
      <c r="Q201" s="1"/>
    </row>
    <row r="202" spans="1:17" x14ac:dyDescent="0.25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1"/>
      <c r="L202" s="1"/>
      <c r="M202" s="1"/>
      <c r="N202" s="1"/>
      <c r="O202" s="1"/>
      <c r="P202" s="1"/>
      <c r="Q202" s="1"/>
    </row>
    <row r="203" spans="1:17" x14ac:dyDescent="0.25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1"/>
      <c r="L203" s="1"/>
      <c r="M203" s="1"/>
      <c r="N203" s="1"/>
      <c r="O203" s="1"/>
      <c r="P203" s="1"/>
      <c r="Q203" s="1"/>
    </row>
    <row r="204" spans="1:17" x14ac:dyDescent="0.25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1"/>
      <c r="L204" s="1"/>
      <c r="M204" s="1"/>
      <c r="N204" s="1"/>
      <c r="O204" s="1"/>
      <c r="P204" s="1"/>
      <c r="Q204" s="1"/>
    </row>
    <row r="205" spans="1:17" x14ac:dyDescent="0.25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1"/>
      <c r="L205" s="1"/>
      <c r="M205" s="1"/>
      <c r="N205" s="1"/>
      <c r="O205" s="1"/>
      <c r="P205" s="1"/>
      <c r="Q205" s="1"/>
    </row>
    <row r="206" spans="1:17" x14ac:dyDescent="0.25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1"/>
      <c r="L206" s="1"/>
      <c r="M206" s="1"/>
      <c r="N206" s="1"/>
      <c r="O206" s="1"/>
      <c r="P206" s="1"/>
      <c r="Q206" s="1"/>
    </row>
    <row r="207" spans="1:17" x14ac:dyDescent="0.25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1"/>
      <c r="L207" s="1"/>
      <c r="M207" s="1"/>
      <c r="N207" s="1"/>
      <c r="O207" s="1"/>
      <c r="P207" s="1"/>
      <c r="Q207" s="1"/>
    </row>
    <row r="208" spans="1:17" x14ac:dyDescent="0.25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1"/>
      <c r="L208" s="1"/>
      <c r="M208" s="1"/>
      <c r="N208" s="1"/>
      <c r="O208" s="1"/>
      <c r="P208" s="1"/>
      <c r="Q208" s="1"/>
    </row>
    <row r="209" spans="1:17" x14ac:dyDescent="0.25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1"/>
      <c r="L209" s="1"/>
      <c r="M209" s="1"/>
      <c r="N209" s="1"/>
      <c r="O209" s="1"/>
      <c r="P209" s="1"/>
      <c r="Q209" s="1"/>
    </row>
    <row r="210" spans="1:17" x14ac:dyDescent="0.25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1"/>
      <c r="L210" s="1"/>
      <c r="M210" s="1"/>
      <c r="N210" s="1"/>
      <c r="O210" s="1"/>
      <c r="P210" s="1"/>
      <c r="Q210" s="1"/>
    </row>
    <row r="211" spans="1:17" x14ac:dyDescent="0.25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1"/>
      <c r="L211" s="1"/>
      <c r="M211" s="1"/>
      <c r="N211" s="1"/>
      <c r="O211" s="1"/>
      <c r="P211" s="1"/>
      <c r="Q211" s="1"/>
    </row>
    <row r="212" spans="1:17" x14ac:dyDescent="0.25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1"/>
      <c r="L212" s="1"/>
      <c r="M212" s="1"/>
      <c r="N212" s="1"/>
      <c r="O212" s="1"/>
      <c r="P212" s="1"/>
      <c r="Q212" s="1"/>
    </row>
    <row r="213" spans="1:17" x14ac:dyDescent="0.25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1"/>
      <c r="L213" s="1"/>
      <c r="M213" s="1"/>
      <c r="N213" s="1"/>
      <c r="O213" s="1"/>
      <c r="P213" s="1"/>
      <c r="Q213" s="1"/>
    </row>
    <row r="214" spans="1:17" x14ac:dyDescent="0.25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1"/>
      <c r="L214" s="1"/>
      <c r="M214" s="1"/>
      <c r="N214" s="1"/>
      <c r="O214" s="1"/>
      <c r="P214" s="1"/>
      <c r="Q214" s="1"/>
    </row>
    <row r="215" spans="1:17" x14ac:dyDescent="0.25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1"/>
      <c r="L215" s="1"/>
      <c r="M215" s="1"/>
      <c r="N215" s="1"/>
      <c r="O215" s="1"/>
      <c r="P215" s="1"/>
      <c r="Q215" s="1"/>
    </row>
    <row r="216" spans="1:17" x14ac:dyDescent="0.25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1"/>
      <c r="L216" s="1"/>
      <c r="M216" s="1"/>
      <c r="N216" s="1"/>
      <c r="O216" s="1"/>
      <c r="P216" s="1"/>
      <c r="Q216" s="1"/>
    </row>
    <row r="217" spans="1:17" x14ac:dyDescent="0.25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1"/>
      <c r="L217" s="1"/>
      <c r="M217" s="1"/>
      <c r="N217" s="1"/>
      <c r="O217" s="1"/>
      <c r="P217" s="1"/>
      <c r="Q217" s="1"/>
    </row>
    <row r="218" spans="1:17" x14ac:dyDescent="0.25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1"/>
      <c r="L218" s="1"/>
      <c r="M218" s="1"/>
      <c r="N218" s="1"/>
      <c r="O218" s="1"/>
      <c r="P218" s="1"/>
      <c r="Q218" s="1"/>
    </row>
    <row r="219" spans="1:17" x14ac:dyDescent="0.25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1"/>
      <c r="L219" s="1"/>
      <c r="M219" s="1"/>
      <c r="N219" s="1"/>
      <c r="O219" s="1"/>
      <c r="P219" s="1"/>
      <c r="Q219" s="1"/>
    </row>
    <row r="220" spans="1:17" x14ac:dyDescent="0.25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1"/>
      <c r="L220" s="1"/>
      <c r="M220" s="1"/>
      <c r="N220" s="1"/>
      <c r="O220" s="1"/>
      <c r="P220" s="1"/>
      <c r="Q220" s="1"/>
    </row>
    <row r="221" spans="1:17" x14ac:dyDescent="0.25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1"/>
      <c r="L221" s="1"/>
      <c r="M221" s="1"/>
      <c r="N221" s="1"/>
      <c r="O221" s="1"/>
      <c r="P221" s="1"/>
      <c r="Q221" s="1"/>
    </row>
    <row r="222" spans="1:17" x14ac:dyDescent="0.25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1"/>
      <c r="L222" s="1"/>
      <c r="M222" s="1"/>
      <c r="N222" s="1"/>
      <c r="O222" s="1"/>
      <c r="P222" s="1"/>
      <c r="Q222" s="1"/>
    </row>
    <row r="223" spans="1:17" x14ac:dyDescent="0.25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1"/>
      <c r="L223" s="1"/>
      <c r="M223" s="1"/>
      <c r="N223" s="1"/>
      <c r="O223" s="1"/>
      <c r="P223" s="1"/>
      <c r="Q223" s="1"/>
    </row>
    <row r="224" spans="1:17" x14ac:dyDescent="0.25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1"/>
      <c r="L224" s="1"/>
      <c r="M224" s="1"/>
      <c r="N224" s="1"/>
      <c r="O224" s="1"/>
      <c r="P224" s="1"/>
      <c r="Q224" s="1"/>
    </row>
    <row r="225" spans="1:17" x14ac:dyDescent="0.25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1"/>
      <c r="L225" s="1"/>
      <c r="M225" s="1"/>
      <c r="N225" s="1"/>
      <c r="O225" s="1"/>
      <c r="P225" s="1"/>
      <c r="Q225" s="1"/>
    </row>
    <row r="226" spans="1:17" x14ac:dyDescent="0.25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1"/>
      <c r="L226" s="1"/>
      <c r="M226" s="1"/>
      <c r="N226" s="1"/>
      <c r="O226" s="1"/>
      <c r="P226" s="1"/>
      <c r="Q226" s="1"/>
    </row>
    <row r="227" spans="1:17" x14ac:dyDescent="0.25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1"/>
      <c r="L227" s="1"/>
      <c r="M227" s="1"/>
      <c r="N227" s="1"/>
      <c r="O227" s="1"/>
      <c r="P227" s="1"/>
      <c r="Q227" s="1"/>
    </row>
    <row r="228" spans="1:17" x14ac:dyDescent="0.25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1"/>
      <c r="L228" s="1"/>
      <c r="M228" s="1"/>
      <c r="N228" s="1"/>
      <c r="O228" s="1"/>
      <c r="P228" s="1"/>
      <c r="Q228" s="1"/>
    </row>
    <row r="229" spans="1:17" x14ac:dyDescent="0.25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1"/>
      <c r="L229" s="1"/>
      <c r="M229" s="1"/>
      <c r="N229" s="1"/>
      <c r="O229" s="1"/>
      <c r="P229" s="1"/>
      <c r="Q229" s="1"/>
    </row>
    <row r="230" spans="1:17" x14ac:dyDescent="0.25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1"/>
      <c r="L230" s="1"/>
      <c r="M230" s="1"/>
      <c r="N230" s="1"/>
      <c r="O230" s="1"/>
      <c r="P230" s="1"/>
      <c r="Q230" s="1"/>
    </row>
    <row r="231" spans="1:17" x14ac:dyDescent="0.25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1"/>
      <c r="L231" s="1"/>
      <c r="M231" s="1"/>
      <c r="N231" s="1"/>
      <c r="O231" s="1"/>
      <c r="P231" s="1"/>
      <c r="Q231" s="1"/>
    </row>
    <row r="232" spans="1:17" x14ac:dyDescent="0.25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1"/>
      <c r="L232" s="1"/>
      <c r="M232" s="1"/>
      <c r="N232" s="1"/>
      <c r="O232" s="1"/>
      <c r="P232" s="1"/>
      <c r="Q232" s="1"/>
    </row>
    <row r="233" spans="1:17" x14ac:dyDescent="0.25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1"/>
      <c r="L233" s="1"/>
      <c r="M233" s="1"/>
      <c r="N233" s="1"/>
      <c r="O233" s="1"/>
      <c r="P233" s="1"/>
      <c r="Q233" s="1"/>
    </row>
    <row r="234" spans="1:17" x14ac:dyDescent="0.25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1"/>
      <c r="L234" s="1"/>
      <c r="M234" s="1"/>
      <c r="N234" s="1"/>
      <c r="O234" s="1"/>
      <c r="P234" s="1"/>
      <c r="Q234" s="1"/>
    </row>
    <row r="235" spans="1:17" x14ac:dyDescent="0.25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1"/>
      <c r="L235" s="1"/>
      <c r="M235" s="1"/>
      <c r="N235" s="1"/>
      <c r="O235" s="1"/>
      <c r="P235" s="1"/>
      <c r="Q235" s="1"/>
    </row>
    <row r="236" spans="1:17" x14ac:dyDescent="0.25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1"/>
      <c r="L236" s="1"/>
      <c r="M236" s="1"/>
      <c r="N236" s="1"/>
      <c r="O236" s="1"/>
      <c r="P236" s="1"/>
      <c r="Q236" s="1"/>
    </row>
    <row r="237" spans="1:17" x14ac:dyDescent="0.25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1"/>
      <c r="L237" s="1"/>
      <c r="M237" s="1"/>
      <c r="N237" s="1"/>
      <c r="O237" s="1"/>
      <c r="P237" s="1"/>
      <c r="Q237" s="1"/>
    </row>
    <row r="238" spans="1:17" x14ac:dyDescent="0.25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1"/>
      <c r="L238" s="1"/>
      <c r="M238" s="1"/>
      <c r="N238" s="1"/>
      <c r="O238" s="1"/>
      <c r="P238" s="1"/>
      <c r="Q238" s="1"/>
    </row>
    <row r="239" spans="1:17" x14ac:dyDescent="0.25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1"/>
      <c r="L239" s="1"/>
      <c r="M239" s="1"/>
      <c r="N239" s="1"/>
      <c r="O239" s="1"/>
      <c r="P239" s="1"/>
      <c r="Q239" s="1"/>
    </row>
    <row r="240" spans="1:17" x14ac:dyDescent="0.25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1"/>
      <c r="L240" s="1"/>
      <c r="M240" s="1"/>
      <c r="N240" s="1"/>
      <c r="O240" s="1"/>
      <c r="P240" s="1"/>
      <c r="Q240" s="1"/>
    </row>
    <row r="241" spans="1:17" x14ac:dyDescent="0.25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1"/>
      <c r="L241" s="1"/>
      <c r="M241" s="1"/>
      <c r="N241" s="1"/>
      <c r="O241" s="1"/>
      <c r="P241" s="1"/>
      <c r="Q241" s="1"/>
    </row>
    <row r="242" spans="1:17" x14ac:dyDescent="0.25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1"/>
      <c r="L242" s="1"/>
      <c r="M242" s="1"/>
      <c r="N242" s="1"/>
      <c r="O242" s="1"/>
      <c r="P242" s="1"/>
      <c r="Q242" s="1"/>
    </row>
    <row r="243" spans="1:17" x14ac:dyDescent="0.25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1"/>
      <c r="L243" s="1"/>
      <c r="M243" s="1"/>
      <c r="N243" s="1"/>
      <c r="O243" s="1"/>
      <c r="P243" s="1"/>
      <c r="Q243" s="1"/>
    </row>
    <row r="244" spans="1:17" x14ac:dyDescent="0.25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1"/>
      <c r="L244" s="1"/>
      <c r="M244" s="1"/>
      <c r="N244" s="1"/>
      <c r="O244" s="1"/>
      <c r="P244" s="1"/>
      <c r="Q244" s="1"/>
    </row>
    <row r="245" spans="1:17" x14ac:dyDescent="0.25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1"/>
      <c r="L245" s="1"/>
      <c r="M245" s="1"/>
      <c r="N245" s="1"/>
      <c r="O245" s="1"/>
      <c r="P245" s="1"/>
      <c r="Q245" s="1"/>
    </row>
    <row r="246" spans="1:17" x14ac:dyDescent="0.25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1"/>
      <c r="L246" s="1"/>
      <c r="M246" s="1"/>
      <c r="N246" s="1"/>
      <c r="O246" s="1"/>
      <c r="P246" s="1"/>
      <c r="Q246" s="1"/>
    </row>
    <row r="247" spans="1:17" x14ac:dyDescent="0.25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1"/>
      <c r="L247" s="1"/>
      <c r="M247" s="1"/>
      <c r="N247" s="1"/>
      <c r="O247" s="1"/>
      <c r="P247" s="1"/>
      <c r="Q247" s="1"/>
    </row>
    <row r="248" spans="1:17" x14ac:dyDescent="0.25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1"/>
      <c r="L248" s="1"/>
      <c r="M248" s="1"/>
      <c r="N248" s="1"/>
      <c r="O248" s="1"/>
      <c r="P248" s="1"/>
      <c r="Q248" s="1"/>
    </row>
    <row r="249" spans="1:17" x14ac:dyDescent="0.25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1"/>
      <c r="L249" s="1"/>
      <c r="M249" s="1"/>
      <c r="N249" s="1"/>
      <c r="O249" s="1"/>
      <c r="P249" s="1"/>
      <c r="Q249" s="1"/>
    </row>
    <row r="250" spans="1:17" x14ac:dyDescent="0.25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1"/>
      <c r="L250" s="1"/>
      <c r="M250" s="1"/>
      <c r="N250" s="1"/>
      <c r="O250" s="1"/>
      <c r="P250" s="1"/>
      <c r="Q250" s="1"/>
    </row>
    <row r="251" spans="1:17" x14ac:dyDescent="0.25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1"/>
      <c r="L251" s="1"/>
      <c r="M251" s="1"/>
      <c r="N251" s="1"/>
      <c r="O251" s="1"/>
      <c r="P251" s="1"/>
      <c r="Q251" s="1"/>
    </row>
    <row r="252" spans="1:17" x14ac:dyDescent="0.25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1"/>
      <c r="L252" s="1"/>
      <c r="M252" s="1"/>
      <c r="N252" s="1"/>
      <c r="O252" s="1"/>
      <c r="P252" s="1"/>
      <c r="Q252" s="1"/>
    </row>
    <row r="253" spans="1:17" x14ac:dyDescent="0.25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1"/>
      <c r="L253" s="1"/>
      <c r="M253" s="1"/>
      <c r="N253" s="1"/>
      <c r="O253" s="1"/>
      <c r="P253" s="1"/>
      <c r="Q253" s="1"/>
    </row>
    <row r="254" spans="1:17" x14ac:dyDescent="0.25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1"/>
      <c r="L254" s="1"/>
      <c r="M254" s="1"/>
      <c r="N254" s="1"/>
      <c r="O254" s="1"/>
      <c r="P254" s="1"/>
      <c r="Q254" s="1"/>
    </row>
    <row r="255" spans="1:17" x14ac:dyDescent="0.25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1"/>
      <c r="L255" s="1"/>
      <c r="M255" s="1"/>
      <c r="N255" s="1"/>
      <c r="O255" s="1"/>
      <c r="P255" s="1"/>
      <c r="Q255" s="1"/>
    </row>
    <row r="256" spans="1:17" x14ac:dyDescent="0.25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1"/>
      <c r="L256" s="1"/>
      <c r="M256" s="1"/>
      <c r="N256" s="1"/>
      <c r="O256" s="1"/>
      <c r="P256" s="1"/>
      <c r="Q256" s="1"/>
    </row>
    <row r="257" spans="1:17" x14ac:dyDescent="0.25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1"/>
      <c r="L257" s="1"/>
      <c r="M257" s="1"/>
      <c r="N257" s="1"/>
      <c r="O257" s="1"/>
      <c r="P257" s="1"/>
      <c r="Q257" s="1"/>
    </row>
    <row r="258" spans="1:17" x14ac:dyDescent="0.25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1"/>
      <c r="L258" s="1"/>
      <c r="M258" s="1"/>
      <c r="N258" s="1"/>
      <c r="O258" s="1"/>
      <c r="P258" s="1"/>
      <c r="Q258" s="1"/>
    </row>
    <row r="259" spans="1:17" x14ac:dyDescent="0.25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1"/>
      <c r="L259" s="1"/>
      <c r="M259" s="1"/>
      <c r="N259" s="1"/>
      <c r="O259" s="1"/>
      <c r="P259" s="1"/>
      <c r="Q259" s="1"/>
    </row>
    <row r="260" spans="1:17" x14ac:dyDescent="0.25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1"/>
      <c r="L260" s="1"/>
      <c r="M260" s="1"/>
      <c r="N260" s="1"/>
      <c r="O260" s="1"/>
      <c r="P260" s="1"/>
      <c r="Q260" s="1"/>
    </row>
    <row r="261" spans="1:17" x14ac:dyDescent="0.25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1"/>
      <c r="L261" s="1"/>
      <c r="M261" s="1"/>
      <c r="N261" s="1"/>
      <c r="O261" s="1"/>
      <c r="P261" s="1"/>
      <c r="Q261" s="1"/>
    </row>
    <row r="262" spans="1:17" x14ac:dyDescent="0.25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1"/>
      <c r="L262" s="1"/>
      <c r="M262" s="1"/>
      <c r="N262" s="1"/>
      <c r="O262" s="1"/>
      <c r="P262" s="1"/>
      <c r="Q262" s="1"/>
    </row>
    <row r="263" spans="1:17" x14ac:dyDescent="0.25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1"/>
      <c r="L263" s="1"/>
      <c r="M263" s="1"/>
      <c r="N263" s="1"/>
      <c r="O263" s="1"/>
      <c r="P263" s="1"/>
      <c r="Q263" s="1"/>
    </row>
    <row r="264" spans="1:17" x14ac:dyDescent="0.25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1"/>
      <c r="L264" s="1"/>
      <c r="M264" s="1"/>
      <c r="N264" s="1"/>
      <c r="O264" s="1"/>
      <c r="P264" s="1"/>
      <c r="Q264" s="1"/>
    </row>
    <row r="265" spans="1:17" x14ac:dyDescent="0.25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1"/>
      <c r="L265" s="1"/>
      <c r="M265" s="1"/>
      <c r="N265" s="1"/>
      <c r="O265" s="1"/>
      <c r="P265" s="1"/>
      <c r="Q265" s="1"/>
    </row>
    <row r="266" spans="1:17" x14ac:dyDescent="0.25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1"/>
      <c r="L266" s="1"/>
      <c r="M266" s="1"/>
      <c r="N266" s="1"/>
      <c r="O266" s="1"/>
      <c r="P266" s="1"/>
      <c r="Q266" s="1"/>
    </row>
    <row r="267" spans="1:17" x14ac:dyDescent="0.25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1"/>
      <c r="L267" s="1"/>
      <c r="M267" s="1"/>
      <c r="N267" s="1"/>
      <c r="O267" s="1"/>
      <c r="P267" s="1"/>
      <c r="Q267" s="1"/>
    </row>
    <row r="268" spans="1:17" x14ac:dyDescent="0.25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1"/>
      <c r="L268" s="1"/>
      <c r="M268" s="1"/>
      <c r="N268" s="1"/>
      <c r="O268" s="1"/>
      <c r="P268" s="1"/>
      <c r="Q268" s="1"/>
    </row>
    <row r="269" spans="1:17" x14ac:dyDescent="0.25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1"/>
      <c r="L269" s="1"/>
      <c r="M269" s="1"/>
      <c r="N269" s="1"/>
      <c r="O269" s="1"/>
      <c r="P269" s="1"/>
      <c r="Q269" s="1"/>
    </row>
    <row r="270" spans="1:17" x14ac:dyDescent="0.25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1"/>
      <c r="L270" s="1"/>
      <c r="M270" s="1"/>
      <c r="N270" s="1"/>
      <c r="O270" s="1"/>
      <c r="P270" s="1"/>
      <c r="Q270" s="1"/>
    </row>
    <row r="271" spans="1:17" x14ac:dyDescent="0.25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1"/>
      <c r="L271" s="1"/>
      <c r="M271" s="1"/>
      <c r="N271" s="1"/>
      <c r="O271" s="1"/>
      <c r="P271" s="1"/>
      <c r="Q271" s="1"/>
    </row>
    <row r="272" spans="1:17" x14ac:dyDescent="0.25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1"/>
      <c r="L272" s="1"/>
      <c r="M272" s="1"/>
      <c r="N272" s="1"/>
      <c r="O272" s="1"/>
      <c r="P272" s="1"/>
      <c r="Q272" s="1"/>
    </row>
    <row r="273" spans="1:17" x14ac:dyDescent="0.25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1"/>
      <c r="L273" s="1"/>
      <c r="M273" s="1"/>
      <c r="N273" s="1"/>
      <c r="O273" s="1"/>
      <c r="P273" s="1"/>
      <c r="Q273" s="1"/>
    </row>
    <row r="274" spans="1:17" x14ac:dyDescent="0.25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1"/>
      <c r="L274" s="1"/>
      <c r="M274" s="1"/>
      <c r="N274" s="1"/>
      <c r="O274" s="1"/>
      <c r="P274" s="1"/>
      <c r="Q274" s="1"/>
    </row>
    <row r="275" spans="1:17" x14ac:dyDescent="0.25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1"/>
      <c r="L275" s="1"/>
      <c r="M275" s="1"/>
      <c r="N275" s="1"/>
      <c r="O275" s="1"/>
      <c r="P275" s="1"/>
      <c r="Q275" s="1"/>
    </row>
    <row r="276" spans="1:17" x14ac:dyDescent="0.25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1"/>
      <c r="L276" s="1"/>
      <c r="M276" s="1"/>
      <c r="N276" s="1"/>
      <c r="O276" s="1"/>
      <c r="P276" s="1"/>
      <c r="Q276" s="1"/>
    </row>
    <row r="277" spans="1:17" x14ac:dyDescent="0.25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1"/>
      <c r="L277" s="1"/>
      <c r="M277" s="1"/>
      <c r="N277" s="1"/>
      <c r="O277" s="1"/>
      <c r="P277" s="1"/>
      <c r="Q277" s="1"/>
    </row>
    <row r="278" spans="1:17" x14ac:dyDescent="0.25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1"/>
      <c r="L278" s="1"/>
      <c r="M278" s="1"/>
      <c r="N278" s="1"/>
      <c r="O278" s="1"/>
      <c r="P278" s="1"/>
      <c r="Q278" s="1"/>
    </row>
    <row r="279" spans="1:17" x14ac:dyDescent="0.25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1"/>
      <c r="L279" s="1"/>
      <c r="M279" s="1"/>
      <c r="N279" s="1"/>
      <c r="O279" s="1"/>
      <c r="P279" s="1"/>
      <c r="Q279" s="1"/>
    </row>
    <row r="280" spans="1:17" x14ac:dyDescent="0.25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1"/>
      <c r="L280" s="1"/>
      <c r="M280" s="1"/>
      <c r="N280" s="1"/>
      <c r="O280" s="1"/>
      <c r="P280" s="1"/>
      <c r="Q280" s="1"/>
    </row>
    <row r="281" spans="1:17" x14ac:dyDescent="0.25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1"/>
      <c r="L281" s="1"/>
      <c r="M281" s="1"/>
      <c r="N281" s="1"/>
      <c r="O281" s="1"/>
      <c r="P281" s="1"/>
      <c r="Q281" s="1"/>
    </row>
    <row r="282" spans="1:17" x14ac:dyDescent="0.25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1"/>
      <c r="L282" s="1"/>
      <c r="M282" s="1"/>
      <c r="N282" s="1"/>
      <c r="O282" s="1"/>
      <c r="P282" s="1"/>
      <c r="Q282" s="1"/>
    </row>
    <row r="283" spans="1:17" x14ac:dyDescent="0.25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1"/>
      <c r="L283" s="1"/>
      <c r="M283" s="1"/>
      <c r="N283" s="1"/>
      <c r="O283" s="1"/>
      <c r="P283" s="1"/>
      <c r="Q283" s="1"/>
    </row>
    <row r="284" spans="1:17" x14ac:dyDescent="0.25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1"/>
      <c r="L284" s="1"/>
      <c r="M284" s="1"/>
      <c r="N284" s="1"/>
      <c r="O284" s="1"/>
      <c r="P284" s="1"/>
      <c r="Q284" s="1"/>
    </row>
    <row r="285" spans="1:17" x14ac:dyDescent="0.25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1"/>
      <c r="L285" s="1"/>
      <c r="M285" s="1"/>
      <c r="N285" s="1"/>
      <c r="O285" s="1"/>
      <c r="P285" s="1"/>
      <c r="Q285" s="1"/>
    </row>
    <row r="286" spans="1:17" x14ac:dyDescent="0.25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1"/>
      <c r="L286" s="1"/>
      <c r="M286" s="1"/>
      <c r="N286" s="1"/>
      <c r="O286" s="1"/>
      <c r="P286" s="1"/>
      <c r="Q286" s="1"/>
    </row>
    <row r="287" spans="1:17" x14ac:dyDescent="0.25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1"/>
      <c r="L287" s="1"/>
      <c r="M287" s="1"/>
      <c r="N287" s="1"/>
      <c r="O287" s="1"/>
      <c r="P287" s="1"/>
      <c r="Q287" s="1"/>
    </row>
    <row r="288" spans="1:17" x14ac:dyDescent="0.25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1"/>
      <c r="L288" s="1"/>
      <c r="M288" s="1"/>
      <c r="N288" s="1"/>
      <c r="O288" s="1"/>
      <c r="P288" s="1"/>
      <c r="Q288" s="1"/>
    </row>
    <row r="289" spans="1:17" x14ac:dyDescent="0.25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1"/>
      <c r="L289" s="1"/>
      <c r="M289" s="1"/>
      <c r="N289" s="1"/>
      <c r="O289" s="1"/>
      <c r="P289" s="1"/>
      <c r="Q289" s="1"/>
    </row>
    <row r="290" spans="1:17" x14ac:dyDescent="0.25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1"/>
      <c r="L290" s="1"/>
      <c r="M290" s="1"/>
      <c r="N290" s="1"/>
      <c r="O290" s="1"/>
      <c r="P290" s="1"/>
      <c r="Q290" s="1"/>
    </row>
    <row r="291" spans="1:17" x14ac:dyDescent="0.25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1"/>
      <c r="L291" s="1"/>
      <c r="M291" s="1"/>
      <c r="N291" s="1"/>
      <c r="O291" s="1"/>
      <c r="P291" s="1"/>
      <c r="Q291" s="1"/>
    </row>
    <row r="292" spans="1:17" x14ac:dyDescent="0.25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1"/>
      <c r="L292" s="1"/>
      <c r="M292" s="1"/>
      <c r="N292" s="1"/>
      <c r="O292" s="1"/>
      <c r="P292" s="1"/>
      <c r="Q292" s="1"/>
    </row>
    <row r="293" spans="1:17" x14ac:dyDescent="0.25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1"/>
      <c r="L293" s="1"/>
      <c r="M293" s="1"/>
      <c r="N293" s="1"/>
      <c r="O293" s="1"/>
      <c r="P293" s="1"/>
      <c r="Q293" s="1"/>
    </row>
    <row r="294" spans="1:17" x14ac:dyDescent="0.25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1"/>
      <c r="L294" s="1"/>
      <c r="M294" s="1"/>
      <c r="N294" s="1"/>
      <c r="O294" s="1"/>
      <c r="P294" s="1"/>
      <c r="Q294" s="1"/>
    </row>
    <row r="295" spans="1:17" x14ac:dyDescent="0.25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1"/>
      <c r="L295" s="1"/>
      <c r="M295" s="1"/>
      <c r="N295" s="1"/>
      <c r="O295" s="1"/>
      <c r="P295" s="1"/>
      <c r="Q295" s="1"/>
    </row>
    <row r="296" spans="1:17" x14ac:dyDescent="0.25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1"/>
      <c r="L296" s="1"/>
      <c r="M296" s="1"/>
      <c r="N296" s="1"/>
      <c r="O296" s="1"/>
      <c r="P296" s="1"/>
      <c r="Q296" s="1"/>
    </row>
    <row r="297" spans="1:17" x14ac:dyDescent="0.25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1"/>
      <c r="L297" s="1"/>
      <c r="M297" s="1"/>
      <c r="N297" s="1"/>
      <c r="O297" s="1"/>
      <c r="P297" s="1"/>
      <c r="Q297" s="1"/>
    </row>
    <row r="298" spans="1:17" x14ac:dyDescent="0.25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1"/>
      <c r="L298" s="1"/>
      <c r="M298" s="1"/>
      <c r="N298" s="1"/>
      <c r="O298" s="1"/>
      <c r="P298" s="1"/>
      <c r="Q298" s="1"/>
    </row>
    <row r="299" spans="1:17" x14ac:dyDescent="0.25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1"/>
      <c r="L299" s="1"/>
      <c r="M299" s="1"/>
      <c r="N299" s="1"/>
      <c r="O299" s="1"/>
      <c r="P299" s="1"/>
      <c r="Q299" s="1"/>
    </row>
    <row r="300" spans="1:17" x14ac:dyDescent="0.25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1"/>
      <c r="L300" s="1"/>
      <c r="M300" s="1"/>
      <c r="N300" s="1"/>
      <c r="O300" s="1"/>
      <c r="P300" s="1"/>
      <c r="Q300" s="1"/>
    </row>
    <row r="301" spans="1:17" x14ac:dyDescent="0.25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1"/>
      <c r="L301" s="1"/>
      <c r="M301" s="1"/>
      <c r="N301" s="1"/>
      <c r="O301" s="1"/>
      <c r="P301" s="1"/>
      <c r="Q301" s="1"/>
    </row>
    <row r="302" spans="1:17" x14ac:dyDescent="0.25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1"/>
      <c r="L302" s="1"/>
      <c r="M302" s="1"/>
      <c r="N302" s="1"/>
      <c r="O302" s="1"/>
      <c r="P302" s="1"/>
      <c r="Q302" s="1"/>
    </row>
    <row r="303" spans="1:17" x14ac:dyDescent="0.25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1"/>
      <c r="L303" s="1"/>
      <c r="M303" s="1"/>
      <c r="N303" s="1"/>
      <c r="O303" s="1"/>
      <c r="P303" s="1"/>
      <c r="Q303" s="1"/>
    </row>
    <row r="304" spans="1:17" x14ac:dyDescent="0.25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1"/>
      <c r="L304" s="1"/>
      <c r="M304" s="1"/>
      <c r="N304" s="1"/>
      <c r="O304" s="1"/>
      <c r="P304" s="1"/>
      <c r="Q304" s="1"/>
    </row>
    <row r="305" spans="1:17" x14ac:dyDescent="0.25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1"/>
      <c r="L305" s="1"/>
      <c r="M305" s="1"/>
      <c r="N305" s="1"/>
      <c r="O305" s="1"/>
      <c r="P305" s="1"/>
      <c r="Q305" s="1"/>
    </row>
    <row r="306" spans="1:17" x14ac:dyDescent="0.25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1"/>
      <c r="L306" s="1"/>
      <c r="M306" s="1"/>
      <c r="N306" s="1"/>
      <c r="O306" s="1"/>
      <c r="P306" s="1"/>
      <c r="Q306" s="1"/>
    </row>
    <row r="307" spans="1:17" x14ac:dyDescent="0.25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1"/>
      <c r="L307" s="1"/>
      <c r="M307" s="1"/>
      <c r="N307" s="1"/>
      <c r="O307" s="1"/>
      <c r="P307" s="1"/>
      <c r="Q307" s="1"/>
    </row>
    <row r="308" spans="1:17" x14ac:dyDescent="0.25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1"/>
      <c r="L308" s="1"/>
      <c r="M308" s="1"/>
      <c r="N308" s="1"/>
      <c r="O308" s="1"/>
      <c r="P308" s="1"/>
      <c r="Q308" s="1"/>
    </row>
    <row r="309" spans="1:17" x14ac:dyDescent="0.25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1"/>
      <c r="L309" s="1"/>
      <c r="M309" s="1"/>
      <c r="N309" s="1"/>
      <c r="O309" s="1"/>
      <c r="P309" s="1"/>
      <c r="Q309" s="1"/>
    </row>
    <row r="310" spans="1:17" x14ac:dyDescent="0.25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1"/>
      <c r="L310" s="1"/>
      <c r="M310" s="1"/>
      <c r="N310" s="1"/>
      <c r="O310" s="1"/>
      <c r="P310" s="1"/>
      <c r="Q310" s="1"/>
    </row>
    <row r="311" spans="1:17" x14ac:dyDescent="0.25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1"/>
      <c r="L311" s="1"/>
      <c r="M311" s="1"/>
      <c r="N311" s="1"/>
      <c r="O311" s="1"/>
      <c r="P311" s="1"/>
      <c r="Q311" s="1"/>
    </row>
    <row r="312" spans="1:17" x14ac:dyDescent="0.25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1"/>
      <c r="L312" s="1"/>
      <c r="M312" s="1"/>
      <c r="N312" s="1"/>
      <c r="O312" s="1"/>
      <c r="P312" s="1"/>
      <c r="Q312" s="1"/>
    </row>
    <row r="313" spans="1:17" x14ac:dyDescent="0.25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1"/>
      <c r="L313" s="1"/>
      <c r="M313" s="1"/>
      <c r="N313" s="1"/>
      <c r="O313" s="1"/>
      <c r="P313" s="1"/>
      <c r="Q313" s="1"/>
    </row>
    <row r="314" spans="1:17" x14ac:dyDescent="0.25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1"/>
      <c r="L314" s="1"/>
      <c r="M314" s="1"/>
      <c r="N314" s="1"/>
      <c r="O314" s="1"/>
      <c r="P314" s="1"/>
      <c r="Q314" s="1"/>
    </row>
    <row r="315" spans="1:17" x14ac:dyDescent="0.25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1"/>
      <c r="L315" s="1"/>
      <c r="M315" s="1"/>
      <c r="N315" s="1"/>
      <c r="O315" s="1"/>
      <c r="P315" s="1"/>
      <c r="Q315" s="1"/>
    </row>
    <row r="316" spans="1:17" x14ac:dyDescent="0.25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1"/>
      <c r="L316" s="1"/>
      <c r="M316" s="1"/>
      <c r="N316" s="1"/>
      <c r="O316" s="1"/>
      <c r="P316" s="1"/>
      <c r="Q316" s="1"/>
    </row>
    <row r="317" spans="1:17" x14ac:dyDescent="0.25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1"/>
      <c r="L317" s="1"/>
      <c r="M317" s="1"/>
      <c r="N317" s="1"/>
      <c r="O317" s="1"/>
      <c r="P317" s="1"/>
      <c r="Q317" s="1"/>
    </row>
    <row r="318" spans="1:17" x14ac:dyDescent="0.25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1"/>
      <c r="L318" s="1"/>
      <c r="M318" s="1"/>
      <c r="N318" s="1"/>
      <c r="O318" s="1"/>
      <c r="P318" s="1"/>
      <c r="Q318" s="1"/>
    </row>
    <row r="319" spans="1:17" x14ac:dyDescent="0.25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1"/>
      <c r="L319" s="1"/>
      <c r="M319" s="1"/>
      <c r="N319" s="1"/>
      <c r="O319" s="1"/>
      <c r="P319" s="1"/>
      <c r="Q319" s="1"/>
    </row>
    <row r="320" spans="1:17" x14ac:dyDescent="0.25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1"/>
      <c r="L320" s="1"/>
      <c r="M320" s="1"/>
      <c r="N320" s="1"/>
      <c r="O320" s="1"/>
      <c r="P320" s="1"/>
      <c r="Q320" s="1"/>
    </row>
    <row r="321" spans="1:17" x14ac:dyDescent="0.25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1"/>
      <c r="L321" s="1"/>
      <c r="M321" s="1"/>
      <c r="N321" s="1"/>
      <c r="O321" s="1"/>
      <c r="P321" s="1"/>
      <c r="Q321" s="1"/>
    </row>
    <row r="322" spans="1:17" x14ac:dyDescent="0.25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1"/>
      <c r="L322" s="1"/>
      <c r="M322" s="1"/>
      <c r="N322" s="1"/>
      <c r="O322" s="1"/>
      <c r="P322" s="1"/>
      <c r="Q322" s="1"/>
    </row>
    <row r="323" spans="1:17" x14ac:dyDescent="0.25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1"/>
      <c r="L323" s="1"/>
      <c r="M323" s="1"/>
      <c r="N323" s="1"/>
      <c r="O323" s="1"/>
      <c r="P323" s="1"/>
      <c r="Q323" s="1"/>
    </row>
    <row r="324" spans="1:17" x14ac:dyDescent="0.25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1"/>
      <c r="L324" s="1"/>
      <c r="M324" s="1"/>
      <c r="N324" s="1"/>
      <c r="O324" s="1"/>
      <c r="P324" s="1"/>
      <c r="Q324" s="1"/>
    </row>
    <row r="325" spans="1:17" x14ac:dyDescent="0.25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1"/>
      <c r="L325" s="1"/>
      <c r="M325" s="1"/>
      <c r="N325" s="1"/>
      <c r="O325" s="1"/>
      <c r="P325" s="1"/>
      <c r="Q325" s="1"/>
    </row>
    <row r="326" spans="1:17" x14ac:dyDescent="0.25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1"/>
      <c r="L326" s="1"/>
      <c r="M326" s="1"/>
      <c r="N326" s="1"/>
      <c r="O326" s="1"/>
      <c r="P326" s="1"/>
      <c r="Q326" s="1"/>
    </row>
    <row r="327" spans="1:17" x14ac:dyDescent="0.25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1"/>
      <c r="L327" s="1"/>
      <c r="M327" s="1"/>
      <c r="N327" s="1"/>
      <c r="O327" s="1"/>
      <c r="P327" s="1"/>
      <c r="Q327" s="1"/>
    </row>
    <row r="328" spans="1:1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x14ac:dyDescent="0.25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1"/>
      <c r="L330" s="1"/>
      <c r="M330" s="1"/>
      <c r="N330" s="1"/>
      <c r="O330" s="1"/>
      <c r="P330" s="1"/>
      <c r="Q330" s="1"/>
    </row>
    <row r="331" spans="1:17" x14ac:dyDescent="0.25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1"/>
      <c r="L331" s="1"/>
      <c r="M331" s="1"/>
      <c r="N331" s="1"/>
      <c r="O331" s="1"/>
      <c r="P331" s="1"/>
      <c r="Q331" s="1"/>
    </row>
    <row r="332" spans="1:17" x14ac:dyDescent="0.25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1"/>
      <c r="L332" s="1"/>
      <c r="M332" s="1"/>
      <c r="N332" s="1"/>
      <c r="O332" s="1"/>
      <c r="P332" s="1"/>
      <c r="Q332" s="1"/>
    </row>
    <row r="333" spans="1:17" x14ac:dyDescent="0.25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1"/>
      <c r="L333" s="1"/>
      <c r="M333" s="1"/>
      <c r="N333" s="1"/>
      <c r="O333" s="1"/>
      <c r="P333" s="1"/>
      <c r="Q333" s="1"/>
    </row>
    <row r="334" spans="1:17" x14ac:dyDescent="0.25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1"/>
      <c r="L334" s="1"/>
      <c r="M334" s="1"/>
      <c r="N334" s="1"/>
      <c r="O334" s="1"/>
      <c r="P334" s="1"/>
      <c r="Q334" s="1"/>
    </row>
    <row r="335" spans="1:17" x14ac:dyDescent="0.25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1"/>
      <c r="L335" s="1"/>
      <c r="M335" s="1"/>
      <c r="N335" s="1"/>
      <c r="O335" s="1"/>
      <c r="P335" s="1"/>
      <c r="Q335" s="1"/>
    </row>
    <row r="336" spans="1:17" x14ac:dyDescent="0.25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1"/>
      <c r="L336" s="1"/>
      <c r="M336" s="1"/>
      <c r="N336" s="1"/>
      <c r="O336" s="1"/>
      <c r="P336" s="1"/>
      <c r="Q336" s="1"/>
    </row>
    <row r="337" spans="1:17" x14ac:dyDescent="0.25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1"/>
      <c r="L337" s="1"/>
      <c r="M337" s="1"/>
      <c r="N337" s="1"/>
      <c r="O337" s="1"/>
      <c r="P337" s="1"/>
      <c r="Q337" s="1"/>
    </row>
    <row r="338" spans="1:17" x14ac:dyDescent="0.25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1"/>
      <c r="L338" s="1"/>
      <c r="M338" s="1"/>
      <c r="N338" s="1"/>
      <c r="O338" s="1"/>
      <c r="P338" s="1"/>
      <c r="Q338" s="1"/>
    </row>
    <row r="339" spans="1:17" x14ac:dyDescent="0.25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1"/>
      <c r="L339" s="1"/>
      <c r="M339" s="1"/>
      <c r="N339" s="1"/>
      <c r="O339" s="1"/>
      <c r="P339" s="1"/>
      <c r="Q339" s="1"/>
    </row>
    <row r="340" spans="1:17" x14ac:dyDescent="0.25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1"/>
      <c r="L340" s="1"/>
      <c r="M340" s="1"/>
      <c r="N340" s="1"/>
      <c r="O340" s="1"/>
      <c r="P340" s="1"/>
      <c r="Q340" s="1"/>
    </row>
    <row r="341" spans="1:17" x14ac:dyDescent="0.25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1"/>
      <c r="L341" s="1"/>
      <c r="M341" s="1"/>
      <c r="N341" s="1"/>
      <c r="O341" s="1"/>
      <c r="P341" s="1"/>
      <c r="Q341" s="1"/>
    </row>
    <row r="342" spans="1:17" x14ac:dyDescent="0.25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1"/>
      <c r="L342" s="1"/>
      <c r="M342" s="1"/>
      <c r="N342" s="1"/>
      <c r="O342" s="1"/>
      <c r="P342" s="1"/>
      <c r="Q342" s="1"/>
    </row>
    <row r="343" spans="1:17" x14ac:dyDescent="0.25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1"/>
      <c r="L343" s="1"/>
      <c r="M343" s="1"/>
      <c r="N343" s="1"/>
      <c r="O343" s="1"/>
      <c r="P343" s="1"/>
      <c r="Q343" s="1"/>
    </row>
    <row r="344" spans="1:17" x14ac:dyDescent="0.25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1"/>
      <c r="L344" s="1"/>
      <c r="M344" s="1"/>
      <c r="N344" s="1"/>
      <c r="O344" s="1"/>
      <c r="P344" s="1"/>
      <c r="Q344" s="1"/>
    </row>
    <row r="345" spans="1:17" x14ac:dyDescent="0.25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1"/>
      <c r="L345" s="1"/>
      <c r="M345" s="1"/>
      <c r="N345" s="1"/>
      <c r="O345" s="1"/>
      <c r="P345" s="1"/>
      <c r="Q345" s="1"/>
    </row>
    <row r="346" spans="1:17" x14ac:dyDescent="0.25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1"/>
      <c r="L346" s="1"/>
      <c r="M346" s="1"/>
      <c r="N346" s="1"/>
      <c r="O346" s="1"/>
      <c r="P346" s="1"/>
      <c r="Q346" s="1"/>
    </row>
    <row r="347" spans="1:17" x14ac:dyDescent="0.25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1"/>
      <c r="L347" s="1"/>
      <c r="M347" s="1"/>
      <c r="N347" s="1"/>
      <c r="O347" s="1"/>
      <c r="P347" s="1"/>
      <c r="Q347" s="1"/>
    </row>
    <row r="348" spans="1:17" x14ac:dyDescent="0.25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1"/>
      <c r="L348" s="1"/>
      <c r="M348" s="1"/>
      <c r="N348" s="1"/>
      <c r="O348" s="1"/>
      <c r="P348" s="1"/>
      <c r="Q348" s="1"/>
    </row>
    <row r="349" spans="1:17" x14ac:dyDescent="0.25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1"/>
      <c r="L349" s="1"/>
      <c r="M349" s="1"/>
      <c r="N349" s="1"/>
      <c r="O349" s="1"/>
      <c r="P349" s="1"/>
      <c r="Q349" s="1"/>
    </row>
    <row r="350" spans="1:17" x14ac:dyDescent="0.25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1"/>
      <c r="L350" s="1"/>
      <c r="M350" s="1"/>
      <c r="N350" s="1"/>
      <c r="O350" s="1"/>
      <c r="P350" s="1"/>
      <c r="Q350" s="1"/>
    </row>
    <row r="351" spans="1:17" x14ac:dyDescent="0.25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1"/>
      <c r="L351" s="1"/>
      <c r="M351" s="1"/>
      <c r="N351" s="1"/>
      <c r="O351" s="1"/>
      <c r="P351" s="1"/>
      <c r="Q351" s="1"/>
    </row>
    <row r="352" spans="1:17" x14ac:dyDescent="0.25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1"/>
      <c r="L352" s="1"/>
      <c r="M352" s="1"/>
      <c r="N352" s="1"/>
      <c r="O352" s="1"/>
      <c r="P352" s="1"/>
      <c r="Q352" s="1"/>
    </row>
    <row r="353" spans="1:17" x14ac:dyDescent="0.25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1"/>
      <c r="L353" s="1"/>
      <c r="M353" s="1"/>
      <c r="N353" s="1"/>
      <c r="O353" s="1"/>
      <c r="P353" s="1"/>
      <c r="Q353" s="1"/>
    </row>
    <row r="354" spans="1:17" x14ac:dyDescent="0.25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1"/>
      <c r="L354" s="1"/>
      <c r="M354" s="1"/>
      <c r="N354" s="1"/>
      <c r="O354" s="1"/>
      <c r="P354" s="1"/>
      <c r="Q354" s="1"/>
    </row>
    <row r="355" spans="1:17" x14ac:dyDescent="0.25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1"/>
      <c r="L355" s="1"/>
      <c r="M355" s="1"/>
      <c r="N355" s="1"/>
      <c r="O355" s="1"/>
      <c r="P355" s="1"/>
      <c r="Q355" s="1"/>
    </row>
    <row r="356" spans="1:17" x14ac:dyDescent="0.25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1"/>
      <c r="L356" s="1"/>
      <c r="M356" s="1"/>
      <c r="N356" s="1"/>
      <c r="O356" s="1"/>
      <c r="P356" s="1"/>
      <c r="Q356" s="1"/>
    </row>
    <row r="357" spans="1:17" x14ac:dyDescent="0.25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1"/>
      <c r="L357" s="1"/>
      <c r="M357" s="1"/>
      <c r="N357" s="1"/>
      <c r="O357" s="1"/>
      <c r="P357" s="1"/>
      <c r="Q357" s="1"/>
    </row>
    <row r="358" spans="1:17" x14ac:dyDescent="0.25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1"/>
      <c r="L358" s="1"/>
      <c r="M358" s="1"/>
      <c r="N358" s="1"/>
      <c r="O358" s="1"/>
      <c r="P358" s="1"/>
      <c r="Q358" s="1"/>
    </row>
    <row r="359" spans="1:17" x14ac:dyDescent="0.25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1"/>
      <c r="L359" s="1"/>
      <c r="M359" s="1"/>
      <c r="N359" s="1"/>
      <c r="O359" s="1"/>
      <c r="P359" s="1"/>
      <c r="Q359" s="1"/>
    </row>
    <row r="360" spans="1:17" x14ac:dyDescent="0.25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1"/>
      <c r="L360" s="1"/>
      <c r="M360" s="1"/>
      <c r="N360" s="1"/>
      <c r="O360" s="1"/>
      <c r="P360" s="1"/>
      <c r="Q360" s="1"/>
    </row>
    <row r="361" spans="1:17" x14ac:dyDescent="0.25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1"/>
      <c r="L361" s="1"/>
      <c r="M361" s="1"/>
      <c r="N361" s="1"/>
      <c r="O361" s="1"/>
      <c r="P361" s="1"/>
      <c r="Q361" s="1"/>
    </row>
    <row r="362" spans="1:17" x14ac:dyDescent="0.25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1"/>
      <c r="L362" s="1"/>
      <c r="M362" s="1"/>
      <c r="N362" s="1"/>
      <c r="O362" s="1"/>
      <c r="P362" s="1"/>
      <c r="Q362" s="1"/>
    </row>
    <row r="363" spans="1:17" x14ac:dyDescent="0.25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1"/>
      <c r="L363" s="1"/>
      <c r="M363" s="1"/>
      <c r="N363" s="1"/>
      <c r="O363" s="1"/>
      <c r="P363" s="1"/>
      <c r="Q363" s="1"/>
    </row>
    <row r="364" spans="1:17" x14ac:dyDescent="0.25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1"/>
      <c r="L364" s="1"/>
      <c r="M364" s="1"/>
      <c r="N364" s="1"/>
      <c r="O364" s="1"/>
      <c r="P364" s="1"/>
      <c r="Q364" s="1"/>
    </row>
    <row r="365" spans="1:17" x14ac:dyDescent="0.25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1"/>
      <c r="L365" s="1"/>
      <c r="M365" s="1"/>
      <c r="N365" s="1"/>
      <c r="O365" s="1"/>
      <c r="P365" s="1"/>
      <c r="Q365" s="1"/>
    </row>
    <row r="366" spans="1:17" x14ac:dyDescent="0.25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1"/>
      <c r="L366" s="1"/>
      <c r="M366" s="1"/>
      <c r="N366" s="1"/>
      <c r="O366" s="1"/>
      <c r="P366" s="1"/>
      <c r="Q366" s="1"/>
    </row>
    <row r="367" spans="1:17" x14ac:dyDescent="0.25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1"/>
      <c r="L367" s="1"/>
      <c r="M367" s="1"/>
      <c r="N367" s="1"/>
      <c r="O367" s="1"/>
      <c r="P367" s="1"/>
      <c r="Q367" s="1"/>
    </row>
    <row r="368" spans="1:17" x14ac:dyDescent="0.25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1"/>
      <c r="L368" s="1"/>
      <c r="M368" s="1"/>
      <c r="N368" s="1"/>
      <c r="O368" s="1"/>
      <c r="P368" s="1"/>
      <c r="Q368" s="1"/>
    </row>
    <row r="369" spans="1:17" x14ac:dyDescent="0.25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1"/>
      <c r="L369" s="1"/>
      <c r="M369" s="1"/>
      <c r="N369" s="1"/>
      <c r="O369" s="1"/>
      <c r="P369" s="1"/>
      <c r="Q369" s="1"/>
    </row>
    <row r="370" spans="1:17" x14ac:dyDescent="0.25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1"/>
      <c r="L370" s="1"/>
      <c r="M370" s="1"/>
      <c r="N370" s="1"/>
      <c r="O370" s="1"/>
      <c r="P370" s="1"/>
      <c r="Q370" s="1"/>
    </row>
    <row r="371" spans="1:17" x14ac:dyDescent="0.25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1"/>
      <c r="L371" s="1"/>
      <c r="M371" s="1"/>
      <c r="N371" s="1"/>
      <c r="O371" s="1"/>
      <c r="P371" s="1"/>
      <c r="Q371" s="1"/>
    </row>
    <row r="372" spans="1:17" x14ac:dyDescent="0.25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1"/>
      <c r="L372" s="1"/>
      <c r="M372" s="1"/>
      <c r="N372" s="1"/>
      <c r="O372" s="1"/>
      <c r="P372" s="1"/>
      <c r="Q372" s="1"/>
    </row>
    <row r="373" spans="1:17" x14ac:dyDescent="0.25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1"/>
      <c r="L373" s="1"/>
      <c r="M373" s="1"/>
      <c r="N373" s="1"/>
      <c r="O373" s="1"/>
      <c r="P373" s="1"/>
      <c r="Q373" s="1"/>
    </row>
    <row r="374" spans="1:17" x14ac:dyDescent="0.25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1"/>
      <c r="L374" s="1"/>
      <c r="M374" s="1"/>
      <c r="N374" s="1"/>
      <c r="O374" s="1"/>
      <c r="P374" s="1"/>
      <c r="Q374" s="1"/>
    </row>
    <row r="375" spans="1:17" x14ac:dyDescent="0.25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1"/>
      <c r="L375" s="1"/>
      <c r="M375" s="1"/>
      <c r="N375" s="1"/>
      <c r="O375" s="1"/>
      <c r="P375" s="1"/>
      <c r="Q375" s="1"/>
    </row>
    <row r="376" spans="1:17" x14ac:dyDescent="0.25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1"/>
      <c r="L376" s="1"/>
      <c r="M376" s="1"/>
      <c r="N376" s="1"/>
      <c r="O376" s="1"/>
      <c r="P376" s="1"/>
      <c r="Q376" s="1"/>
    </row>
    <row r="377" spans="1:17" x14ac:dyDescent="0.25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1"/>
      <c r="L377" s="1"/>
      <c r="M377" s="1"/>
      <c r="N377" s="1"/>
      <c r="O377" s="1"/>
      <c r="P377" s="1"/>
      <c r="Q377" s="1"/>
    </row>
    <row r="378" spans="1:17" x14ac:dyDescent="0.25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1"/>
      <c r="L378" s="1"/>
      <c r="M378" s="1"/>
      <c r="N378" s="1"/>
      <c r="O378" s="1"/>
      <c r="P378" s="1"/>
      <c r="Q378" s="1"/>
    </row>
    <row r="379" spans="1:17" x14ac:dyDescent="0.25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1"/>
      <c r="L379" s="1"/>
      <c r="M379" s="1"/>
      <c r="N379" s="1"/>
      <c r="O379" s="1"/>
      <c r="P379" s="1"/>
      <c r="Q379" s="1"/>
    </row>
    <row r="380" spans="1:17" x14ac:dyDescent="0.25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1"/>
      <c r="L380" s="1"/>
      <c r="M380" s="1"/>
      <c r="N380" s="1"/>
      <c r="O380" s="1"/>
      <c r="P380" s="1"/>
      <c r="Q380" s="1"/>
    </row>
    <row r="381" spans="1:17" x14ac:dyDescent="0.25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1"/>
      <c r="L381" s="1"/>
      <c r="M381" s="1"/>
      <c r="N381" s="1"/>
      <c r="O381" s="1"/>
      <c r="P381" s="1"/>
      <c r="Q381" s="1"/>
    </row>
    <row r="382" spans="1:17" x14ac:dyDescent="0.25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1"/>
      <c r="L382" s="1"/>
      <c r="M382" s="1"/>
      <c r="N382" s="1"/>
      <c r="O382" s="1"/>
      <c r="P382" s="1"/>
      <c r="Q382" s="1"/>
    </row>
    <row r="383" spans="1:17" x14ac:dyDescent="0.25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1"/>
      <c r="L383" s="1"/>
      <c r="M383" s="1"/>
      <c r="N383" s="1"/>
      <c r="O383" s="1"/>
      <c r="P383" s="1"/>
      <c r="Q383" s="1"/>
    </row>
    <row r="384" spans="1:17" x14ac:dyDescent="0.25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1"/>
      <c r="L384" s="1"/>
      <c r="M384" s="1"/>
      <c r="N384" s="1"/>
      <c r="O384" s="1"/>
      <c r="P384" s="1"/>
      <c r="Q384" s="1"/>
    </row>
    <row r="385" spans="1:17" x14ac:dyDescent="0.25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1"/>
      <c r="L385" s="1"/>
      <c r="M385" s="1"/>
      <c r="N385" s="1"/>
      <c r="O385" s="1"/>
      <c r="P385" s="1"/>
      <c r="Q385" s="1"/>
    </row>
    <row r="386" spans="1:17" x14ac:dyDescent="0.25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1"/>
      <c r="L386" s="1"/>
      <c r="M386" s="1"/>
      <c r="N386" s="1"/>
      <c r="O386" s="1"/>
      <c r="P386" s="1"/>
      <c r="Q386" s="1"/>
    </row>
    <row r="387" spans="1:17" x14ac:dyDescent="0.25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1"/>
      <c r="L387" s="1"/>
      <c r="M387" s="1"/>
      <c r="N387" s="1"/>
      <c r="O387" s="1"/>
      <c r="P387" s="1"/>
      <c r="Q387" s="1"/>
    </row>
    <row r="388" spans="1:17" x14ac:dyDescent="0.25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1"/>
      <c r="L388" s="1"/>
      <c r="M388" s="1"/>
      <c r="N388" s="1"/>
      <c r="O388" s="1"/>
      <c r="P388" s="1"/>
      <c r="Q388" s="1"/>
    </row>
    <row r="389" spans="1:17" x14ac:dyDescent="0.25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1"/>
      <c r="L389" s="1"/>
      <c r="M389" s="1"/>
      <c r="N389" s="1"/>
      <c r="O389" s="1"/>
      <c r="P389" s="1"/>
      <c r="Q389" s="1"/>
    </row>
    <row r="390" spans="1:17" x14ac:dyDescent="0.25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1"/>
      <c r="L390" s="1"/>
      <c r="M390" s="1"/>
      <c r="N390" s="1"/>
      <c r="O390" s="1"/>
      <c r="P390" s="1"/>
      <c r="Q390" s="1"/>
    </row>
    <row r="391" spans="1:17" x14ac:dyDescent="0.25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1"/>
      <c r="L391" s="1"/>
      <c r="M391" s="1"/>
      <c r="N391" s="1"/>
      <c r="O391" s="1"/>
      <c r="P391" s="1"/>
      <c r="Q391" s="1"/>
    </row>
    <row r="392" spans="1:17" x14ac:dyDescent="0.25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1"/>
      <c r="L392" s="1"/>
      <c r="M392" s="1"/>
      <c r="N392" s="1"/>
      <c r="O392" s="1"/>
      <c r="P392" s="1"/>
      <c r="Q392" s="1"/>
    </row>
    <row r="393" spans="1:17" x14ac:dyDescent="0.25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1"/>
      <c r="L393" s="1"/>
      <c r="M393" s="1"/>
      <c r="N393" s="1"/>
      <c r="O393" s="1"/>
      <c r="P393" s="1"/>
      <c r="Q393" s="1"/>
    </row>
    <row r="394" spans="1:17" x14ac:dyDescent="0.25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1"/>
      <c r="L394" s="1"/>
      <c r="M394" s="1"/>
      <c r="N394" s="1"/>
      <c r="O394" s="1"/>
      <c r="P394" s="1"/>
      <c r="Q394" s="1"/>
    </row>
    <row r="395" spans="1:17" x14ac:dyDescent="0.25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1"/>
      <c r="L395" s="1"/>
      <c r="M395" s="1"/>
      <c r="N395" s="1"/>
      <c r="O395" s="1"/>
      <c r="P395" s="1"/>
      <c r="Q395" s="1"/>
    </row>
    <row r="396" spans="1:17" x14ac:dyDescent="0.25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1"/>
      <c r="L396" s="1"/>
      <c r="M396" s="1"/>
      <c r="N396" s="1"/>
      <c r="O396" s="1"/>
      <c r="P396" s="1"/>
      <c r="Q396" s="1"/>
    </row>
    <row r="397" spans="1:17" x14ac:dyDescent="0.25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1"/>
      <c r="L397" s="1"/>
      <c r="M397" s="1"/>
      <c r="N397" s="1"/>
      <c r="O397" s="1"/>
      <c r="P397" s="1"/>
      <c r="Q397" s="1"/>
    </row>
    <row r="398" spans="1:17" x14ac:dyDescent="0.25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1"/>
      <c r="L398" s="1"/>
      <c r="M398" s="1"/>
      <c r="N398" s="1"/>
      <c r="O398" s="1"/>
      <c r="P398" s="1"/>
      <c r="Q398" s="1"/>
    </row>
    <row r="399" spans="1:17" x14ac:dyDescent="0.25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1"/>
      <c r="L399" s="1"/>
      <c r="M399" s="1"/>
      <c r="N399" s="1"/>
      <c r="O399" s="1"/>
      <c r="P399" s="1"/>
      <c r="Q399" s="1"/>
    </row>
    <row r="400" spans="1:17" x14ac:dyDescent="0.25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1"/>
      <c r="L400" s="1"/>
      <c r="M400" s="1"/>
      <c r="N400" s="1"/>
      <c r="O400" s="1"/>
      <c r="P400" s="1"/>
      <c r="Q400" s="1"/>
    </row>
    <row r="401" spans="1:17" x14ac:dyDescent="0.25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1"/>
      <c r="L401" s="1"/>
      <c r="M401" s="1"/>
      <c r="N401" s="1"/>
      <c r="O401" s="1"/>
      <c r="P401" s="1"/>
      <c r="Q401" s="1"/>
    </row>
    <row r="402" spans="1:17" x14ac:dyDescent="0.25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1"/>
      <c r="L402" s="1"/>
      <c r="M402" s="1"/>
      <c r="N402" s="1"/>
      <c r="O402" s="1"/>
      <c r="P402" s="1"/>
      <c r="Q402" s="1"/>
    </row>
    <row r="403" spans="1:17" x14ac:dyDescent="0.25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1"/>
      <c r="L403" s="1"/>
      <c r="M403" s="1"/>
      <c r="N403" s="1"/>
      <c r="O403" s="1"/>
      <c r="P403" s="1"/>
      <c r="Q403" s="1"/>
    </row>
    <row r="404" spans="1:17" x14ac:dyDescent="0.25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1"/>
      <c r="L404" s="1"/>
      <c r="M404" s="1"/>
      <c r="N404" s="1"/>
      <c r="O404" s="1"/>
      <c r="P404" s="1"/>
      <c r="Q404" s="1"/>
    </row>
    <row r="405" spans="1:17" x14ac:dyDescent="0.25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1"/>
      <c r="L405" s="1"/>
      <c r="M405" s="1"/>
      <c r="N405" s="1"/>
      <c r="O405" s="1"/>
      <c r="P405" s="1"/>
      <c r="Q405" s="1"/>
    </row>
    <row r="406" spans="1:17" x14ac:dyDescent="0.25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1"/>
      <c r="L406" s="1"/>
      <c r="M406" s="1"/>
      <c r="N406" s="1"/>
      <c r="O406" s="1"/>
      <c r="P406" s="1"/>
      <c r="Q406" s="1"/>
    </row>
    <row r="407" spans="1:17" x14ac:dyDescent="0.25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1"/>
      <c r="L407" s="1"/>
      <c r="M407" s="1"/>
      <c r="N407" s="1"/>
      <c r="O407" s="1"/>
      <c r="P407" s="1"/>
      <c r="Q407" s="1"/>
    </row>
    <row r="408" spans="1:17" x14ac:dyDescent="0.25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1"/>
      <c r="L408" s="1"/>
      <c r="M408" s="1"/>
      <c r="N408" s="1"/>
      <c r="O408" s="1"/>
      <c r="P408" s="1"/>
      <c r="Q408" s="1"/>
    </row>
    <row r="409" spans="1:17" x14ac:dyDescent="0.25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1"/>
      <c r="L409" s="1"/>
      <c r="M409" s="1"/>
      <c r="N409" s="1"/>
      <c r="O409" s="1"/>
      <c r="P409" s="1"/>
      <c r="Q409" s="1"/>
    </row>
    <row r="410" spans="1:17" x14ac:dyDescent="0.25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1"/>
      <c r="L410" s="1"/>
      <c r="M410" s="1"/>
      <c r="N410" s="1"/>
      <c r="O410" s="1"/>
      <c r="P410" s="1"/>
      <c r="Q410" s="1"/>
    </row>
    <row r="411" spans="1:17" x14ac:dyDescent="0.25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1"/>
      <c r="L411" s="1"/>
      <c r="M411" s="1"/>
      <c r="N411" s="1"/>
      <c r="O411" s="1"/>
      <c r="P411" s="1"/>
      <c r="Q411" s="1"/>
    </row>
    <row r="412" spans="1:17" x14ac:dyDescent="0.25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1"/>
      <c r="L412" s="1"/>
      <c r="M412" s="1"/>
      <c r="N412" s="1"/>
      <c r="O412" s="1"/>
      <c r="P412" s="1"/>
      <c r="Q412" s="1"/>
    </row>
    <row r="413" spans="1:17" x14ac:dyDescent="0.25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1"/>
      <c r="L413" s="1"/>
      <c r="M413" s="1"/>
      <c r="N413" s="1"/>
      <c r="O413" s="1"/>
      <c r="P413" s="1"/>
      <c r="Q413" s="1"/>
    </row>
    <row r="414" spans="1:17" x14ac:dyDescent="0.25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1"/>
      <c r="L414" s="1"/>
      <c r="M414" s="1"/>
      <c r="N414" s="1"/>
      <c r="O414" s="1"/>
      <c r="P414" s="1"/>
      <c r="Q414" s="1"/>
    </row>
    <row r="415" spans="1:17" x14ac:dyDescent="0.25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1"/>
      <c r="L415" s="1"/>
      <c r="M415" s="1"/>
      <c r="N415" s="1"/>
      <c r="O415" s="1"/>
      <c r="P415" s="1"/>
      <c r="Q415" s="1"/>
    </row>
    <row r="416" spans="1:17" x14ac:dyDescent="0.25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1"/>
      <c r="L416" s="1"/>
      <c r="M416" s="1"/>
      <c r="N416" s="1"/>
      <c r="O416" s="1"/>
      <c r="P416" s="1"/>
      <c r="Q416" s="1"/>
    </row>
    <row r="417" spans="1:17" x14ac:dyDescent="0.25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1"/>
      <c r="L417" s="1"/>
      <c r="M417" s="1"/>
      <c r="N417" s="1"/>
      <c r="O417" s="1"/>
      <c r="P417" s="1"/>
      <c r="Q417" s="1"/>
    </row>
    <row r="418" spans="1:17" x14ac:dyDescent="0.25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1"/>
      <c r="L418" s="1"/>
      <c r="M418" s="1"/>
      <c r="N418" s="1"/>
      <c r="O418" s="1"/>
      <c r="P418" s="1"/>
      <c r="Q418" s="1"/>
    </row>
    <row r="419" spans="1:17" x14ac:dyDescent="0.25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1"/>
      <c r="L419" s="1"/>
      <c r="M419" s="1"/>
      <c r="N419" s="1"/>
      <c r="O419" s="1"/>
      <c r="P419" s="1"/>
      <c r="Q419" s="1"/>
    </row>
    <row r="420" spans="1:17" x14ac:dyDescent="0.25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1"/>
      <c r="L420" s="1"/>
      <c r="M420" s="1"/>
      <c r="N420" s="1"/>
      <c r="O420" s="1"/>
      <c r="P420" s="1"/>
      <c r="Q420" s="1"/>
    </row>
    <row r="421" spans="1:17" x14ac:dyDescent="0.25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1"/>
      <c r="L421" s="1"/>
      <c r="M421" s="1"/>
      <c r="N421" s="1"/>
      <c r="O421" s="1"/>
      <c r="P421" s="1"/>
      <c r="Q421" s="1"/>
    </row>
    <row r="422" spans="1:17" x14ac:dyDescent="0.25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1"/>
      <c r="L422" s="1"/>
      <c r="M422" s="1"/>
      <c r="N422" s="1"/>
      <c r="O422" s="1"/>
      <c r="P422" s="1"/>
      <c r="Q422" s="1"/>
    </row>
    <row r="423" spans="1:17" x14ac:dyDescent="0.25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1"/>
      <c r="L423" s="1"/>
      <c r="M423" s="1"/>
      <c r="N423" s="1"/>
      <c r="O423" s="1"/>
      <c r="P423" s="1"/>
      <c r="Q423" s="1"/>
    </row>
    <row r="424" spans="1:17" x14ac:dyDescent="0.25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1"/>
      <c r="L424" s="1"/>
      <c r="M424" s="1"/>
      <c r="N424" s="1"/>
      <c r="O424" s="1"/>
      <c r="P424" s="1"/>
      <c r="Q424" s="1"/>
    </row>
    <row r="425" spans="1:17" x14ac:dyDescent="0.25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1"/>
      <c r="L425" s="1"/>
      <c r="M425" s="1"/>
      <c r="N425" s="1"/>
      <c r="O425" s="1"/>
      <c r="P425" s="1"/>
      <c r="Q425" s="1"/>
    </row>
    <row r="426" spans="1:17" x14ac:dyDescent="0.25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1"/>
      <c r="L426" s="1"/>
      <c r="M426" s="1"/>
      <c r="N426" s="1"/>
      <c r="O426" s="1"/>
      <c r="P426" s="1"/>
      <c r="Q426" s="1"/>
    </row>
    <row r="427" spans="1:17" x14ac:dyDescent="0.25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1"/>
      <c r="L427" s="1"/>
      <c r="M427" s="1"/>
      <c r="N427" s="1"/>
      <c r="O427" s="1"/>
      <c r="P427" s="1"/>
      <c r="Q427" s="1"/>
    </row>
    <row r="428" spans="1:17" x14ac:dyDescent="0.25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1"/>
      <c r="L428" s="1"/>
      <c r="M428" s="1"/>
      <c r="N428" s="1"/>
      <c r="O428" s="1"/>
      <c r="P428" s="1"/>
      <c r="Q428" s="1"/>
    </row>
    <row r="429" spans="1:17" x14ac:dyDescent="0.25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1"/>
      <c r="L429" s="1"/>
      <c r="M429" s="1"/>
      <c r="N429" s="1"/>
      <c r="O429" s="1"/>
      <c r="P429" s="1"/>
      <c r="Q429" s="1"/>
    </row>
    <row r="430" spans="1:17" x14ac:dyDescent="0.25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1"/>
      <c r="L430" s="1"/>
      <c r="M430" s="1"/>
      <c r="N430" s="1"/>
      <c r="O430" s="1"/>
      <c r="P430" s="1"/>
      <c r="Q430" s="1"/>
    </row>
    <row r="431" spans="1:17" x14ac:dyDescent="0.25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1"/>
      <c r="L431" s="1"/>
      <c r="M431" s="1"/>
      <c r="N431" s="1"/>
      <c r="O431" s="1"/>
      <c r="P431" s="1"/>
      <c r="Q431" s="1"/>
    </row>
    <row r="432" spans="1:17" x14ac:dyDescent="0.25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1"/>
      <c r="L432" s="1"/>
      <c r="M432" s="1"/>
      <c r="N432" s="1"/>
      <c r="O432" s="1"/>
      <c r="P432" s="1"/>
      <c r="Q432" s="1"/>
    </row>
    <row r="433" spans="1:17" x14ac:dyDescent="0.25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1"/>
      <c r="L433" s="1"/>
      <c r="M433" s="1"/>
      <c r="N433" s="1"/>
      <c r="O433" s="1"/>
      <c r="P433" s="1"/>
      <c r="Q433" s="1"/>
    </row>
    <row r="434" spans="1:17" x14ac:dyDescent="0.25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1"/>
      <c r="L434" s="1"/>
      <c r="M434" s="1"/>
      <c r="N434" s="1"/>
      <c r="O434" s="1"/>
      <c r="P434" s="1"/>
      <c r="Q434" s="1"/>
    </row>
    <row r="435" spans="1:17" x14ac:dyDescent="0.25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1"/>
      <c r="L435" s="1"/>
      <c r="M435" s="1"/>
      <c r="N435" s="1"/>
      <c r="O435" s="1"/>
      <c r="P435" s="1"/>
      <c r="Q435" s="1"/>
    </row>
    <row r="436" spans="1:17" x14ac:dyDescent="0.25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1"/>
      <c r="L436" s="1"/>
      <c r="M436" s="1"/>
      <c r="N436" s="1"/>
      <c r="O436" s="1"/>
      <c r="P436" s="1"/>
      <c r="Q436" s="1"/>
    </row>
    <row r="437" spans="1:17" x14ac:dyDescent="0.25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1"/>
      <c r="L437" s="1"/>
      <c r="M437" s="1"/>
      <c r="N437" s="1"/>
      <c r="O437" s="1"/>
      <c r="P437" s="1"/>
      <c r="Q437" s="1"/>
    </row>
    <row r="438" spans="1:17" x14ac:dyDescent="0.25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1"/>
      <c r="L438" s="1"/>
      <c r="M438" s="1"/>
      <c r="N438" s="1"/>
      <c r="O438" s="1"/>
      <c r="P438" s="1"/>
      <c r="Q438" s="1"/>
    </row>
    <row r="439" spans="1:17" x14ac:dyDescent="0.25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1"/>
      <c r="L439" s="1"/>
      <c r="M439" s="1"/>
      <c r="N439" s="1"/>
      <c r="O439" s="1"/>
      <c r="P439" s="1"/>
      <c r="Q439" s="1"/>
    </row>
    <row r="440" spans="1:17" x14ac:dyDescent="0.25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1"/>
      <c r="L440" s="1"/>
      <c r="M440" s="1"/>
      <c r="N440" s="1"/>
      <c r="O440" s="1"/>
      <c r="P440" s="1"/>
      <c r="Q440" s="1"/>
    </row>
    <row r="441" spans="1:17" x14ac:dyDescent="0.25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1"/>
      <c r="L441" s="1"/>
      <c r="M441" s="1"/>
      <c r="N441" s="1"/>
      <c r="O441" s="1"/>
      <c r="P441" s="1"/>
      <c r="Q441" s="1"/>
    </row>
    <row r="442" spans="1:17" x14ac:dyDescent="0.25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1"/>
      <c r="L442" s="1"/>
      <c r="M442" s="1"/>
      <c r="N442" s="1"/>
      <c r="O442" s="1"/>
      <c r="P442" s="1"/>
      <c r="Q442" s="1"/>
    </row>
    <row r="443" spans="1:17" x14ac:dyDescent="0.25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1"/>
      <c r="L443" s="1"/>
      <c r="M443" s="1"/>
      <c r="N443" s="1"/>
      <c r="O443" s="1"/>
      <c r="P443" s="1"/>
      <c r="Q443" s="1"/>
    </row>
    <row r="444" spans="1:17" x14ac:dyDescent="0.25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1"/>
      <c r="L444" s="1"/>
      <c r="M444" s="1"/>
      <c r="N444" s="1"/>
      <c r="O444" s="1"/>
      <c r="P444" s="1"/>
      <c r="Q444" s="1"/>
    </row>
    <row r="445" spans="1:17" x14ac:dyDescent="0.25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1"/>
      <c r="L445" s="1"/>
      <c r="M445" s="1"/>
      <c r="N445" s="1"/>
      <c r="O445" s="1"/>
      <c r="P445" s="1"/>
      <c r="Q445" s="1"/>
    </row>
    <row r="446" spans="1:17" x14ac:dyDescent="0.25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1"/>
      <c r="L446" s="1"/>
      <c r="M446" s="1"/>
      <c r="N446" s="1"/>
      <c r="O446" s="1"/>
      <c r="P446" s="1"/>
      <c r="Q446" s="1"/>
    </row>
    <row r="447" spans="1:17" x14ac:dyDescent="0.25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1"/>
      <c r="L447" s="1"/>
      <c r="M447" s="1"/>
      <c r="N447" s="1"/>
      <c r="O447" s="1"/>
      <c r="P447" s="1"/>
      <c r="Q447" s="1"/>
    </row>
    <row r="448" spans="1:17" x14ac:dyDescent="0.25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1"/>
      <c r="L448" s="1"/>
      <c r="M448" s="1"/>
      <c r="N448" s="1"/>
      <c r="O448" s="1"/>
      <c r="P448" s="1"/>
      <c r="Q448" s="1"/>
    </row>
    <row r="449" spans="1:17" x14ac:dyDescent="0.25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1"/>
      <c r="L449" s="1"/>
      <c r="M449" s="1"/>
      <c r="N449" s="1"/>
      <c r="O449" s="1"/>
      <c r="P449" s="1"/>
      <c r="Q449" s="1"/>
    </row>
    <row r="450" spans="1:17" x14ac:dyDescent="0.25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1"/>
      <c r="L450" s="1"/>
      <c r="M450" s="1"/>
      <c r="N450" s="1"/>
      <c r="O450" s="1"/>
      <c r="P450" s="1"/>
      <c r="Q450" s="1"/>
    </row>
    <row r="451" spans="1:17" x14ac:dyDescent="0.25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1"/>
      <c r="L451" s="1"/>
      <c r="M451" s="1"/>
      <c r="N451" s="1"/>
      <c r="O451" s="1"/>
      <c r="P451" s="1"/>
      <c r="Q451" s="1"/>
    </row>
    <row r="452" spans="1:17" x14ac:dyDescent="0.25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1"/>
      <c r="L452" s="1"/>
      <c r="M452" s="1"/>
      <c r="N452" s="1"/>
      <c r="O452" s="1"/>
      <c r="P452" s="1"/>
      <c r="Q452" s="1"/>
    </row>
    <row r="453" spans="1:17" x14ac:dyDescent="0.25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1"/>
      <c r="L453" s="1"/>
      <c r="M453" s="1"/>
      <c r="N453" s="1"/>
      <c r="O453" s="1"/>
      <c r="P453" s="1"/>
      <c r="Q453" s="1"/>
    </row>
    <row r="454" spans="1:17" x14ac:dyDescent="0.25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1"/>
      <c r="L454" s="1"/>
      <c r="M454" s="1"/>
      <c r="N454" s="1"/>
      <c r="O454" s="1"/>
      <c r="P454" s="1"/>
      <c r="Q454" s="1"/>
    </row>
    <row r="455" spans="1:17" x14ac:dyDescent="0.25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1"/>
      <c r="L455" s="1"/>
      <c r="M455" s="1"/>
      <c r="N455" s="1"/>
      <c r="O455" s="1"/>
      <c r="P455" s="1"/>
      <c r="Q455" s="1"/>
    </row>
    <row r="456" spans="1:17" x14ac:dyDescent="0.25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1"/>
      <c r="L456" s="1"/>
      <c r="M456" s="1"/>
      <c r="N456" s="1"/>
      <c r="O456" s="1"/>
      <c r="P456" s="1"/>
      <c r="Q456" s="1"/>
    </row>
    <row r="457" spans="1:17" x14ac:dyDescent="0.25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1"/>
      <c r="L457" s="1"/>
      <c r="M457" s="1"/>
      <c r="N457" s="1"/>
      <c r="O457" s="1"/>
      <c r="P457" s="1"/>
      <c r="Q457" s="1"/>
    </row>
    <row r="458" spans="1:17" x14ac:dyDescent="0.25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1"/>
      <c r="L458" s="1"/>
      <c r="M458" s="1"/>
      <c r="N458" s="1"/>
      <c r="O458" s="1"/>
      <c r="P458" s="1"/>
      <c r="Q458" s="1"/>
    </row>
    <row r="459" spans="1:17" x14ac:dyDescent="0.25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1"/>
      <c r="L459" s="1"/>
      <c r="M459" s="1"/>
      <c r="N459" s="1"/>
      <c r="O459" s="1"/>
      <c r="P459" s="1"/>
      <c r="Q459" s="1"/>
    </row>
    <row r="460" spans="1:17" x14ac:dyDescent="0.25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1"/>
      <c r="L460" s="1"/>
      <c r="M460" s="1"/>
      <c r="N460" s="1"/>
      <c r="O460" s="1"/>
      <c r="P460" s="1"/>
      <c r="Q460" s="1"/>
    </row>
    <row r="461" spans="1:17" x14ac:dyDescent="0.25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1"/>
      <c r="L461" s="1"/>
      <c r="M461" s="1"/>
      <c r="N461" s="1"/>
      <c r="O461" s="1"/>
      <c r="P461" s="1"/>
      <c r="Q461" s="1"/>
    </row>
    <row r="462" spans="1:17" x14ac:dyDescent="0.25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1"/>
      <c r="L462" s="1"/>
      <c r="M462" s="1"/>
      <c r="N462" s="1"/>
      <c r="O462" s="1"/>
      <c r="P462" s="1"/>
      <c r="Q462" s="1"/>
    </row>
    <row r="463" spans="1:17" x14ac:dyDescent="0.25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1"/>
      <c r="L463" s="1"/>
      <c r="M463" s="1"/>
      <c r="N463" s="1"/>
      <c r="O463" s="1"/>
      <c r="P463" s="1"/>
      <c r="Q463" s="1"/>
    </row>
    <row r="464" spans="1:17" x14ac:dyDescent="0.25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1"/>
      <c r="L464" s="1"/>
      <c r="M464" s="1"/>
      <c r="N464" s="1"/>
      <c r="O464" s="1"/>
      <c r="P464" s="1"/>
      <c r="Q464" s="1"/>
    </row>
    <row r="465" spans="1:17" x14ac:dyDescent="0.25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1"/>
      <c r="L465" s="1"/>
      <c r="M465" s="1"/>
      <c r="N465" s="1"/>
      <c r="O465" s="1"/>
      <c r="P465" s="1"/>
      <c r="Q465" s="1"/>
    </row>
    <row r="466" spans="1:17" x14ac:dyDescent="0.25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1"/>
      <c r="L466" s="1"/>
      <c r="M466" s="1"/>
      <c r="N466" s="1"/>
      <c r="O466" s="1"/>
      <c r="P466" s="1"/>
      <c r="Q466" s="1"/>
    </row>
    <row r="467" spans="1:17" x14ac:dyDescent="0.25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1"/>
      <c r="L467" s="1"/>
      <c r="M467" s="1"/>
      <c r="N467" s="1"/>
      <c r="O467" s="1"/>
      <c r="P467" s="1"/>
      <c r="Q467" s="1"/>
    </row>
    <row r="468" spans="1:17" x14ac:dyDescent="0.25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1"/>
      <c r="L468" s="1"/>
      <c r="M468" s="1"/>
      <c r="N468" s="1"/>
      <c r="O468" s="1"/>
      <c r="P468" s="1"/>
      <c r="Q468" s="1"/>
    </row>
    <row r="469" spans="1:17" x14ac:dyDescent="0.25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1"/>
      <c r="L469" s="1"/>
      <c r="M469" s="1"/>
      <c r="N469" s="1"/>
      <c r="O469" s="1"/>
      <c r="P469" s="1"/>
      <c r="Q469" s="1"/>
    </row>
    <row r="470" spans="1:17" x14ac:dyDescent="0.25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1"/>
      <c r="L470" s="1"/>
      <c r="M470" s="1"/>
      <c r="N470" s="1"/>
      <c r="O470" s="1"/>
      <c r="P470" s="1"/>
      <c r="Q470" s="1"/>
    </row>
    <row r="471" spans="1:17" x14ac:dyDescent="0.25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1"/>
      <c r="L471" s="1"/>
      <c r="M471" s="1"/>
      <c r="N471" s="1"/>
      <c r="O471" s="1"/>
      <c r="P471" s="1"/>
      <c r="Q471" s="1"/>
    </row>
    <row r="472" spans="1:17" x14ac:dyDescent="0.25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1"/>
      <c r="L472" s="1"/>
      <c r="M472" s="1"/>
      <c r="N472" s="1"/>
      <c r="O472" s="1"/>
      <c r="P472" s="1"/>
      <c r="Q472" s="1"/>
    </row>
    <row r="473" spans="1:17" x14ac:dyDescent="0.25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1"/>
      <c r="L473" s="1"/>
      <c r="M473" s="1"/>
      <c r="N473" s="1"/>
      <c r="O473" s="1"/>
      <c r="P473" s="1"/>
      <c r="Q473" s="1"/>
    </row>
    <row r="474" spans="1:17" x14ac:dyDescent="0.25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1"/>
      <c r="L474" s="1"/>
      <c r="M474" s="1"/>
      <c r="N474" s="1"/>
      <c r="O474" s="1"/>
      <c r="P474" s="1"/>
      <c r="Q474" s="1"/>
    </row>
    <row r="475" spans="1:17" x14ac:dyDescent="0.25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1"/>
      <c r="L475" s="1"/>
      <c r="M475" s="1"/>
      <c r="N475" s="1"/>
      <c r="O475" s="1"/>
      <c r="P475" s="1"/>
      <c r="Q475" s="1"/>
    </row>
    <row r="476" spans="1:17" x14ac:dyDescent="0.25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1"/>
      <c r="L476" s="1"/>
      <c r="M476" s="1"/>
      <c r="N476" s="1"/>
      <c r="O476" s="1"/>
      <c r="P476" s="1"/>
      <c r="Q476" s="1"/>
    </row>
    <row r="477" spans="1:17" x14ac:dyDescent="0.25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1"/>
      <c r="L477" s="1"/>
      <c r="M477" s="1"/>
      <c r="N477" s="1"/>
      <c r="O477" s="1"/>
      <c r="P477" s="1"/>
      <c r="Q477" s="1"/>
    </row>
    <row r="478" spans="1:17" x14ac:dyDescent="0.25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1"/>
      <c r="L478" s="1"/>
      <c r="M478" s="1"/>
      <c r="N478" s="1"/>
      <c r="O478" s="1"/>
      <c r="P478" s="1"/>
      <c r="Q478" s="1"/>
    </row>
    <row r="479" spans="1:17" x14ac:dyDescent="0.25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1"/>
      <c r="L479" s="1"/>
      <c r="M479" s="1"/>
      <c r="N479" s="1"/>
      <c r="O479" s="1"/>
      <c r="P479" s="1"/>
      <c r="Q479" s="1"/>
    </row>
    <row r="480" spans="1:17" x14ac:dyDescent="0.25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1"/>
      <c r="L480" s="1"/>
      <c r="M480" s="1"/>
      <c r="N480" s="1"/>
      <c r="O480" s="1"/>
      <c r="P480" s="1"/>
      <c r="Q480" s="1"/>
    </row>
    <row r="481" spans="1:17" x14ac:dyDescent="0.25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1"/>
      <c r="L481" s="1"/>
      <c r="M481" s="1"/>
      <c r="N481" s="1"/>
      <c r="O481" s="1"/>
      <c r="P481" s="1"/>
      <c r="Q481" s="1"/>
    </row>
    <row r="482" spans="1:17" x14ac:dyDescent="0.25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1"/>
      <c r="L482" s="1"/>
      <c r="M482" s="1"/>
      <c r="N482" s="1"/>
      <c r="O482" s="1"/>
      <c r="P482" s="1"/>
      <c r="Q482" s="1"/>
    </row>
    <row r="483" spans="1:17" x14ac:dyDescent="0.25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1"/>
      <c r="L483" s="1"/>
      <c r="M483" s="1"/>
      <c r="N483" s="1"/>
      <c r="O483" s="1"/>
      <c r="P483" s="1"/>
      <c r="Q483" s="1"/>
    </row>
    <row r="484" spans="1:17" x14ac:dyDescent="0.25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1"/>
      <c r="L484" s="1"/>
      <c r="M484" s="1"/>
      <c r="N484" s="1"/>
      <c r="O484" s="1"/>
      <c r="P484" s="1"/>
      <c r="Q484" s="1"/>
    </row>
    <row r="485" spans="1:17" x14ac:dyDescent="0.25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1"/>
      <c r="L485" s="1"/>
      <c r="M485" s="1"/>
      <c r="N485" s="1"/>
      <c r="O485" s="1"/>
      <c r="P485" s="1"/>
      <c r="Q485" s="1"/>
    </row>
    <row r="486" spans="1:17" x14ac:dyDescent="0.25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1"/>
      <c r="L486" s="1"/>
      <c r="M486" s="1"/>
      <c r="N486" s="1"/>
      <c r="O486" s="1"/>
      <c r="P486" s="1"/>
      <c r="Q486" s="1"/>
    </row>
    <row r="487" spans="1:17" x14ac:dyDescent="0.25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1"/>
      <c r="L487" s="1"/>
      <c r="M487" s="1"/>
      <c r="N487" s="1"/>
      <c r="O487" s="1"/>
      <c r="P487" s="1"/>
      <c r="Q487" s="1"/>
    </row>
    <row r="488" spans="1:17" x14ac:dyDescent="0.25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1"/>
      <c r="L488" s="1"/>
      <c r="M488" s="1"/>
      <c r="N488" s="1"/>
      <c r="O488" s="1"/>
      <c r="P488" s="1"/>
      <c r="Q488" s="1"/>
    </row>
    <row r="489" spans="1:17" x14ac:dyDescent="0.25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1"/>
      <c r="L489" s="1"/>
      <c r="M489" s="1"/>
      <c r="N489" s="1"/>
      <c r="O489" s="1"/>
      <c r="P489" s="1"/>
      <c r="Q489" s="1"/>
    </row>
    <row r="490" spans="1:17" x14ac:dyDescent="0.25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1"/>
      <c r="L490" s="1"/>
      <c r="M490" s="1"/>
      <c r="N490" s="1"/>
      <c r="O490" s="1"/>
      <c r="P490" s="1"/>
      <c r="Q490" s="1"/>
    </row>
    <row r="491" spans="1:17" x14ac:dyDescent="0.25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1"/>
      <c r="L491" s="1"/>
      <c r="M491" s="1"/>
      <c r="N491" s="1"/>
      <c r="O491" s="1"/>
      <c r="P491" s="1"/>
      <c r="Q491" s="1"/>
    </row>
    <row r="492" spans="1:17" x14ac:dyDescent="0.25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1"/>
      <c r="L492" s="1"/>
      <c r="M492" s="1"/>
      <c r="N492" s="1"/>
      <c r="O492" s="1"/>
      <c r="P492" s="1"/>
      <c r="Q492" s="1"/>
    </row>
    <row r="493" spans="1:17" x14ac:dyDescent="0.25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1"/>
      <c r="L493" s="1"/>
      <c r="M493" s="1"/>
      <c r="N493" s="1"/>
      <c r="O493" s="1"/>
      <c r="P493" s="1"/>
      <c r="Q493" s="1"/>
    </row>
    <row r="494" spans="1:17" x14ac:dyDescent="0.25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1"/>
      <c r="L494" s="1"/>
      <c r="M494" s="1"/>
      <c r="N494" s="1"/>
      <c r="O494" s="1"/>
      <c r="P494" s="1"/>
      <c r="Q494" s="1"/>
    </row>
    <row r="495" spans="1:17" x14ac:dyDescent="0.25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1"/>
      <c r="L495" s="1"/>
      <c r="M495" s="1"/>
      <c r="N495" s="1"/>
      <c r="O495" s="1"/>
      <c r="P495" s="1"/>
      <c r="Q495" s="1"/>
    </row>
    <row r="496" spans="1:17" x14ac:dyDescent="0.25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1"/>
      <c r="L496" s="1"/>
      <c r="M496" s="1"/>
      <c r="N496" s="1"/>
      <c r="O496" s="1"/>
      <c r="P496" s="1"/>
      <c r="Q496" s="1"/>
    </row>
    <row r="497" spans="1:17" x14ac:dyDescent="0.25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1"/>
      <c r="L497" s="1"/>
      <c r="M497" s="1"/>
      <c r="N497" s="1"/>
      <c r="O497" s="1"/>
      <c r="P497" s="1"/>
      <c r="Q497" s="1"/>
    </row>
    <row r="498" spans="1:17" x14ac:dyDescent="0.25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1"/>
      <c r="L498" s="1"/>
      <c r="M498" s="1"/>
      <c r="N498" s="1"/>
      <c r="O498" s="1"/>
      <c r="P498" s="1"/>
      <c r="Q498" s="1"/>
    </row>
    <row r="499" spans="1:17" x14ac:dyDescent="0.25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1"/>
      <c r="L499" s="1"/>
      <c r="M499" s="1"/>
      <c r="N499" s="1"/>
      <c r="O499" s="1"/>
      <c r="P499" s="1"/>
      <c r="Q499" s="1"/>
    </row>
    <row r="500" spans="1:17" x14ac:dyDescent="0.25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1"/>
      <c r="L500" s="1"/>
      <c r="M500" s="1"/>
      <c r="N500" s="1"/>
      <c r="O500" s="1"/>
      <c r="P500" s="1"/>
      <c r="Q500" s="1"/>
    </row>
    <row r="501" spans="1:17" x14ac:dyDescent="0.25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1"/>
      <c r="L501" s="1"/>
      <c r="M501" s="1"/>
      <c r="N501" s="1"/>
      <c r="O501" s="1"/>
      <c r="P501" s="1"/>
      <c r="Q501" s="1"/>
    </row>
    <row r="502" spans="1:17" x14ac:dyDescent="0.25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1"/>
      <c r="L502" s="1"/>
      <c r="M502" s="1"/>
      <c r="N502" s="1"/>
      <c r="O502" s="1"/>
      <c r="P502" s="1"/>
      <c r="Q502" s="1"/>
    </row>
    <row r="503" spans="1:17" x14ac:dyDescent="0.25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1"/>
      <c r="L503" s="1"/>
      <c r="M503" s="1"/>
      <c r="N503" s="1"/>
      <c r="O503" s="1"/>
      <c r="P503" s="1"/>
      <c r="Q503" s="1"/>
    </row>
    <row r="504" spans="1:17" x14ac:dyDescent="0.25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1"/>
      <c r="L504" s="1"/>
      <c r="M504" s="1"/>
      <c r="N504" s="1"/>
      <c r="O504" s="1"/>
      <c r="P504" s="1"/>
      <c r="Q504" s="1"/>
    </row>
    <row r="505" spans="1:17" x14ac:dyDescent="0.25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1"/>
      <c r="L505" s="1"/>
      <c r="M505" s="1"/>
      <c r="N505" s="1"/>
      <c r="O505" s="1"/>
      <c r="P505" s="1"/>
      <c r="Q505" s="1"/>
    </row>
    <row r="506" spans="1:17" x14ac:dyDescent="0.25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1"/>
      <c r="L506" s="1"/>
      <c r="M506" s="1"/>
      <c r="N506" s="1"/>
      <c r="O506" s="1"/>
      <c r="P506" s="1"/>
      <c r="Q506" s="1"/>
    </row>
    <row r="507" spans="1:17" x14ac:dyDescent="0.25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1"/>
      <c r="L507" s="1"/>
      <c r="M507" s="1"/>
      <c r="N507" s="1"/>
      <c r="O507" s="1"/>
      <c r="P507" s="1"/>
      <c r="Q507" s="1"/>
    </row>
    <row r="508" spans="1:17" x14ac:dyDescent="0.25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1"/>
      <c r="L508" s="1"/>
      <c r="M508" s="1"/>
      <c r="N508" s="1"/>
      <c r="O508" s="1"/>
      <c r="P508" s="1"/>
      <c r="Q508" s="1"/>
    </row>
    <row r="509" spans="1:17" x14ac:dyDescent="0.25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1"/>
      <c r="L509" s="1"/>
      <c r="M509" s="1"/>
      <c r="N509" s="1"/>
      <c r="O509" s="1"/>
      <c r="P509" s="1"/>
      <c r="Q509" s="1"/>
    </row>
    <row r="510" spans="1:17" x14ac:dyDescent="0.25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1"/>
      <c r="L510" s="1"/>
      <c r="M510" s="1"/>
      <c r="N510" s="1"/>
      <c r="O510" s="1"/>
      <c r="P510" s="1"/>
      <c r="Q510" s="1"/>
    </row>
    <row r="511" spans="1:17" x14ac:dyDescent="0.25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1"/>
      <c r="L511" s="1"/>
      <c r="M511" s="1"/>
      <c r="N511" s="1"/>
      <c r="O511" s="1"/>
      <c r="P511" s="1"/>
      <c r="Q511" s="1"/>
    </row>
    <row r="512" spans="1:17" x14ac:dyDescent="0.25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1"/>
      <c r="L512" s="1"/>
      <c r="M512" s="1"/>
      <c r="N512" s="1"/>
      <c r="O512" s="1"/>
      <c r="P512" s="1"/>
      <c r="Q512" s="1"/>
    </row>
    <row r="513" spans="1:17" x14ac:dyDescent="0.25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1"/>
      <c r="L513" s="1"/>
      <c r="M513" s="1"/>
      <c r="N513" s="1"/>
      <c r="O513" s="1"/>
      <c r="P513" s="1"/>
      <c r="Q513" s="1"/>
    </row>
    <row r="514" spans="1:17" x14ac:dyDescent="0.25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1"/>
      <c r="L514" s="1"/>
      <c r="M514" s="1"/>
      <c r="N514" s="1"/>
      <c r="O514" s="1"/>
      <c r="P514" s="1"/>
      <c r="Q514" s="1"/>
    </row>
    <row r="515" spans="1:17" x14ac:dyDescent="0.25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1"/>
      <c r="L515" s="1"/>
      <c r="M515" s="1"/>
      <c r="N515" s="1"/>
      <c r="O515" s="1"/>
      <c r="P515" s="1"/>
      <c r="Q515" s="1"/>
    </row>
    <row r="516" spans="1:17" x14ac:dyDescent="0.25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1"/>
      <c r="L516" s="1"/>
      <c r="M516" s="1"/>
      <c r="N516" s="1"/>
      <c r="O516" s="1"/>
      <c r="P516" s="1"/>
      <c r="Q516" s="1"/>
    </row>
    <row r="517" spans="1:17" x14ac:dyDescent="0.25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1"/>
      <c r="L517" s="1"/>
      <c r="M517" s="1"/>
      <c r="N517" s="1"/>
      <c r="O517" s="1"/>
      <c r="P517" s="1"/>
      <c r="Q517" s="1"/>
    </row>
    <row r="518" spans="1:17" x14ac:dyDescent="0.25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1"/>
      <c r="L518" s="1"/>
      <c r="M518" s="1"/>
      <c r="N518" s="1"/>
      <c r="O518" s="1"/>
      <c r="P518" s="1"/>
      <c r="Q518" s="1"/>
    </row>
    <row r="519" spans="1:17" x14ac:dyDescent="0.25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1"/>
      <c r="L519" s="1"/>
      <c r="M519" s="1"/>
      <c r="N519" s="1"/>
      <c r="O519" s="1"/>
      <c r="P519" s="1"/>
      <c r="Q519" s="1"/>
    </row>
    <row r="520" spans="1:17" x14ac:dyDescent="0.25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1"/>
      <c r="L520" s="1"/>
      <c r="M520" s="1"/>
      <c r="N520" s="1"/>
      <c r="O520" s="1"/>
      <c r="P520" s="1"/>
      <c r="Q520" s="1"/>
    </row>
    <row r="521" spans="1:17" x14ac:dyDescent="0.25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1"/>
      <c r="L521" s="1"/>
      <c r="M521" s="1"/>
      <c r="N521" s="1"/>
      <c r="O521" s="1"/>
      <c r="P521" s="1"/>
      <c r="Q521" s="1"/>
    </row>
    <row r="522" spans="1:17" x14ac:dyDescent="0.25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1"/>
      <c r="L522" s="1"/>
      <c r="M522" s="1"/>
      <c r="N522" s="1"/>
      <c r="O522" s="1"/>
      <c r="P522" s="1"/>
      <c r="Q522" s="1"/>
    </row>
    <row r="523" spans="1:17" x14ac:dyDescent="0.25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1"/>
      <c r="L523" s="1"/>
      <c r="M523" s="1"/>
      <c r="N523" s="1"/>
      <c r="O523" s="1"/>
      <c r="P523" s="1"/>
      <c r="Q523" s="1"/>
    </row>
    <row r="524" spans="1:17" x14ac:dyDescent="0.25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1"/>
      <c r="L524" s="1"/>
      <c r="M524" s="1"/>
      <c r="N524" s="1"/>
      <c r="O524" s="1"/>
      <c r="P524" s="1"/>
      <c r="Q524" s="1"/>
    </row>
    <row r="525" spans="1:17" x14ac:dyDescent="0.25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1"/>
      <c r="L525" s="1"/>
      <c r="M525" s="1"/>
      <c r="N525" s="1"/>
      <c r="O525" s="1"/>
      <c r="P525" s="1"/>
      <c r="Q525" s="1"/>
    </row>
    <row r="526" spans="1:17" x14ac:dyDescent="0.25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1"/>
      <c r="L526" s="1"/>
      <c r="M526" s="1"/>
      <c r="N526" s="1"/>
      <c r="O526" s="1"/>
      <c r="P526" s="1"/>
      <c r="Q526" s="1"/>
    </row>
    <row r="527" spans="1:17" x14ac:dyDescent="0.25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1"/>
      <c r="L527" s="1"/>
      <c r="M527" s="1"/>
      <c r="N527" s="1"/>
      <c r="O527" s="1"/>
      <c r="P527" s="1"/>
      <c r="Q527" s="1"/>
    </row>
    <row r="528" spans="1:17" x14ac:dyDescent="0.25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1"/>
      <c r="L528" s="1"/>
      <c r="M528" s="1"/>
      <c r="N528" s="1"/>
      <c r="O528" s="1"/>
      <c r="P528" s="1"/>
      <c r="Q528" s="1"/>
    </row>
    <row r="529" spans="1:17" x14ac:dyDescent="0.25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1"/>
      <c r="L529" s="1"/>
      <c r="M529" s="1"/>
      <c r="N529" s="1"/>
      <c r="O529" s="1"/>
      <c r="P529" s="1"/>
      <c r="Q529" s="1"/>
    </row>
    <row r="530" spans="1:17" x14ac:dyDescent="0.25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1"/>
      <c r="L530" s="1"/>
      <c r="M530" s="1"/>
      <c r="N530" s="1"/>
      <c r="O530" s="1"/>
      <c r="P530" s="1"/>
      <c r="Q530" s="1"/>
    </row>
    <row r="531" spans="1:17" x14ac:dyDescent="0.25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1"/>
      <c r="L531" s="1"/>
      <c r="M531" s="1"/>
      <c r="N531" s="1"/>
      <c r="O531" s="1"/>
      <c r="P531" s="1"/>
      <c r="Q531" s="1"/>
    </row>
    <row r="532" spans="1:17" x14ac:dyDescent="0.25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1"/>
      <c r="L532" s="1"/>
      <c r="M532" s="1"/>
      <c r="N532" s="1"/>
      <c r="O532" s="1"/>
      <c r="P532" s="1"/>
      <c r="Q532" s="1"/>
    </row>
    <row r="533" spans="1:17" x14ac:dyDescent="0.25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1"/>
      <c r="L533" s="1"/>
      <c r="M533" s="1"/>
      <c r="N533" s="1"/>
      <c r="O533" s="1"/>
      <c r="P533" s="1"/>
      <c r="Q533" s="1"/>
    </row>
    <row r="534" spans="1:17" x14ac:dyDescent="0.25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1"/>
      <c r="L534" s="1"/>
      <c r="M534" s="1"/>
      <c r="N534" s="1"/>
      <c r="O534" s="1"/>
      <c r="P534" s="1"/>
      <c r="Q534" s="1"/>
    </row>
    <row r="535" spans="1:17" x14ac:dyDescent="0.25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1"/>
      <c r="L535" s="1"/>
      <c r="M535" s="1"/>
      <c r="N535" s="1"/>
      <c r="O535" s="1"/>
      <c r="P535" s="1"/>
      <c r="Q535" s="1"/>
    </row>
    <row r="536" spans="1:17" x14ac:dyDescent="0.25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1"/>
      <c r="L536" s="1"/>
      <c r="M536" s="1"/>
      <c r="N536" s="1"/>
      <c r="O536" s="1"/>
      <c r="P536" s="1"/>
      <c r="Q536" s="1"/>
    </row>
    <row r="537" spans="1:17" x14ac:dyDescent="0.25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1"/>
      <c r="L537" s="1"/>
      <c r="M537" s="1"/>
      <c r="N537" s="1"/>
      <c r="O537" s="1"/>
      <c r="P537" s="1"/>
      <c r="Q537" s="1"/>
    </row>
    <row r="538" spans="1:17" x14ac:dyDescent="0.25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1"/>
      <c r="L538" s="1"/>
      <c r="M538" s="1"/>
      <c r="N538" s="1"/>
      <c r="O538" s="1"/>
      <c r="P538" s="1"/>
      <c r="Q538" s="1"/>
    </row>
    <row r="539" spans="1:17" x14ac:dyDescent="0.25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1"/>
      <c r="L539" s="1"/>
      <c r="M539" s="1"/>
      <c r="N539" s="1"/>
      <c r="O539" s="1"/>
      <c r="P539" s="1"/>
      <c r="Q539" s="1"/>
    </row>
    <row r="540" spans="1:17" x14ac:dyDescent="0.25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1"/>
      <c r="L540" s="1"/>
      <c r="M540" s="1"/>
      <c r="N540" s="1"/>
      <c r="O540" s="1"/>
      <c r="P540" s="1"/>
      <c r="Q540" s="1"/>
    </row>
    <row r="541" spans="1:17" x14ac:dyDescent="0.25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1"/>
      <c r="L541" s="1"/>
      <c r="M541" s="1"/>
      <c r="N541" s="1"/>
      <c r="O541" s="1"/>
      <c r="P541" s="1"/>
      <c r="Q541" s="1"/>
    </row>
    <row r="542" spans="1:17" x14ac:dyDescent="0.25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1"/>
      <c r="L542" s="1"/>
      <c r="M542" s="1"/>
      <c r="N542" s="1"/>
      <c r="O542" s="1"/>
      <c r="P542" s="1"/>
      <c r="Q542" s="1"/>
    </row>
    <row r="543" spans="1:17" x14ac:dyDescent="0.25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1"/>
      <c r="L543" s="1"/>
      <c r="M543" s="1"/>
      <c r="N543" s="1"/>
      <c r="O543" s="1"/>
      <c r="P543" s="1"/>
      <c r="Q543" s="1"/>
    </row>
    <row r="544" spans="1:17" x14ac:dyDescent="0.25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1"/>
      <c r="L544" s="1"/>
      <c r="M544" s="1"/>
      <c r="N544" s="1"/>
      <c r="O544" s="1"/>
      <c r="P544" s="1"/>
      <c r="Q544" s="1"/>
    </row>
    <row r="545" spans="1:17" x14ac:dyDescent="0.25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1"/>
      <c r="L545" s="1"/>
      <c r="M545" s="1"/>
      <c r="N545" s="1"/>
      <c r="O545" s="1"/>
      <c r="P545" s="1"/>
      <c r="Q545" s="1"/>
    </row>
    <row r="546" spans="1:17" x14ac:dyDescent="0.25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1"/>
      <c r="L546" s="1"/>
      <c r="M546" s="1"/>
      <c r="N546" s="1"/>
      <c r="O546" s="1"/>
      <c r="P546" s="1"/>
      <c r="Q546" s="1"/>
    </row>
    <row r="547" spans="1:17" x14ac:dyDescent="0.25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1"/>
      <c r="L547" s="1"/>
      <c r="M547" s="1"/>
      <c r="N547" s="1"/>
      <c r="O547" s="1"/>
      <c r="P547" s="1"/>
      <c r="Q547" s="1"/>
    </row>
    <row r="548" spans="1:17" x14ac:dyDescent="0.25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1"/>
      <c r="L548" s="1"/>
      <c r="M548" s="1"/>
      <c r="N548" s="1"/>
      <c r="O548" s="1"/>
      <c r="P548" s="1"/>
      <c r="Q548" s="1"/>
    </row>
    <row r="549" spans="1:17" x14ac:dyDescent="0.25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1"/>
      <c r="L549" s="1"/>
      <c r="M549" s="1"/>
      <c r="N549" s="1"/>
      <c r="O549" s="1"/>
      <c r="P549" s="1"/>
      <c r="Q549" s="1"/>
    </row>
    <row r="550" spans="1:17" x14ac:dyDescent="0.25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1"/>
      <c r="L550" s="1"/>
      <c r="M550" s="1"/>
      <c r="N550" s="1"/>
      <c r="O550" s="1"/>
      <c r="P550" s="1"/>
      <c r="Q550" s="1"/>
    </row>
    <row r="551" spans="1:17" x14ac:dyDescent="0.25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1"/>
      <c r="L551" s="1"/>
      <c r="M551" s="1"/>
      <c r="N551" s="1"/>
      <c r="O551" s="1"/>
      <c r="P551" s="1"/>
      <c r="Q551" s="1"/>
    </row>
    <row r="552" spans="1:17" x14ac:dyDescent="0.25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1"/>
      <c r="L552" s="1"/>
      <c r="M552" s="1"/>
      <c r="N552" s="1"/>
      <c r="O552" s="1"/>
      <c r="P552" s="1"/>
      <c r="Q552" s="1"/>
    </row>
    <row r="553" spans="1:17" x14ac:dyDescent="0.25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1"/>
      <c r="L553" s="1"/>
      <c r="M553" s="1"/>
      <c r="N553" s="1"/>
      <c r="O553" s="1"/>
      <c r="P553" s="1"/>
      <c r="Q553" s="1"/>
    </row>
    <row r="554" spans="1:17" x14ac:dyDescent="0.25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1"/>
      <c r="L554" s="1"/>
      <c r="M554" s="1"/>
      <c r="N554" s="1"/>
      <c r="O554" s="1"/>
      <c r="P554" s="1"/>
      <c r="Q554" s="1"/>
    </row>
    <row r="555" spans="1:17" x14ac:dyDescent="0.25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1"/>
      <c r="L555" s="1"/>
      <c r="M555" s="1"/>
      <c r="N555" s="1"/>
      <c r="O555" s="1"/>
      <c r="P555" s="1"/>
      <c r="Q555" s="1"/>
    </row>
    <row r="556" spans="1:17" x14ac:dyDescent="0.25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1"/>
      <c r="L556" s="1"/>
      <c r="M556" s="1"/>
      <c r="N556" s="1"/>
      <c r="O556" s="1"/>
      <c r="P556" s="1"/>
      <c r="Q556" s="1"/>
    </row>
    <row r="557" spans="1:17" x14ac:dyDescent="0.25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1"/>
      <c r="L557" s="1"/>
      <c r="M557" s="1"/>
      <c r="N557" s="1"/>
      <c r="O557" s="1"/>
      <c r="P557" s="1"/>
      <c r="Q557" s="1"/>
    </row>
    <row r="558" spans="1:17" x14ac:dyDescent="0.25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1"/>
      <c r="L558" s="1"/>
      <c r="M558" s="1"/>
      <c r="N558" s="1"/>
      <c r="O558" s="1"/>
      <c r="P558" s="1"/>
      <c r="Q558" s="1"/>
    </row>
    <row r="559" spans="1:17" x14ac:dyDescent="0.25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1"/>
      <c r="L559" s="1"/>
      <c r="M559" s="1"/>
      <c r="N559" s="1"/>
      <c r="O559" s="1"/>
      <c r="P559" s="1"/>
      <c r="Q559" s="1"/>
    </row>
    <row r="560" spans="1:17" x14ac:dyDescent="0.25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1"/>
      <c r="L560" s="1"/>
      <c r="M560" s="1"/>
      <c r="N560" s="1"/>
      <c r="O560" s="1"/>
      <c r="P560" s="1"/>
      <c r="Q560" s="1"/>
    </row>
    <row r="561" spans="1:17" x14ac:dyDescent="0.25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1"/>
      <c r="L561" s="1"/>
      <c r="M561" s="1"/>
      <c r="N561" s="1"/>
      <c r="O561" s="1"/>
      <c r="P561" s="1"/>
      <c r="Q561" s="1"/>
    </row>
    <row r="562" spans="1:17" x14ac:dyDescent="0.25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1"/>
      <c r="L562" s="1"/>
      <c r="M562" s="1"/>
      <c r="N562" s="1"/>
      <c r="O562" s="1"/>
      <c r="P562" s="1"/>
      <c r="Q562" s="1"/>
    </row>
    <row r="563" spans="1:17" x14ac:dyDescent="0.25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1"/>
      <c r="L563" s="1"/>
      <c r="M563" s="1"/>
      <c r="N563" s="1"/>
      <c r="O563" s="1"/>
      <c r="P563" s="1"/>
      <c r="Q563" s="1"/>
    </row>
    <row r="564" spans="1:17" x14ac:dyDescent="0.25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1"/>
      <c r="L564" s="1"/>
      <c r="M564" s="1"/>
      <c r="N564" s="1"/>
      <c r="O564" s="1"/>
      <c r="P564" s="1"/>
      <c r="Q564" s="1"/>
    </row>
    <row r="565" spans="1:17" x14ac:dyDescent="0.25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1"/>
      <c r="L565" s="1"/>
      <c r="M565" s="1"/>
      <c r="N565" s="1"/>
      <c r="O565" s="1"/>
      <c r="P565" s="1"/>
      <c r="Q565" s="1"/>
    </row>
    <row r="566" spans="1:17" x14ac:dyDescent="0.25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1"/>
      <c r="L566" s="1"/>
      <c r="M566" s="1"/>
      <c r="N566" s="1"/>
      <c r="O566" s="1"/>
      <c r="P566" s="1"/>
      <c r="Q566" s="1"/>
    </row>
    <row r="567" spans="1:17" x14ac:dyDescent="0.25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1"/>
      <c r="L567" s="1"/>
      <c r="M567" s="1"/>
      <c r="N567" s="1"/>
      <c r="O567" s="1"/>
      <c r="P567" s="1"/>
      <c r="Q567" s="1"/>
    </row>
    <row r="568" spans="1:17" x14ac:dyDescent="0.25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1"/>
      <c r="L568" s="1"/>
      <c r="M568" s="1"/>
      <c r="N568" s="1"/>
      <c r="O568" s="1"/>
      <c r="P568" s="1"/>
      <c r="Q568" s="1"/>
    </row>
    <row r="569" spans="1:17" x14ac:dyDescent="0.25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1"/>
      <c r="L569" s="1"/>
      <c r="M569" s="1"/>
      <c r="N569" s="1"/>
      <c r="O569" s="1"/>
      <c r="P569" s="1"/>
      <c r="Q569" s="1"/>
    </row>
    <row r="570" spans="1:17" x14ac:dyDescent="0.25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1"/>
      <c r="L570" s="1"/>
      <c r="M570" s="1"/>
      <c r="N570" s="1"/>
      <c r="O570" s="1"/>
      <c r="P570" s="1"/>
      <c r="Q570" s="1"/>
    </row>
    <row r="571" spans="1:17" x14ac:dyDescent="0.25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1"/>
      <c r="L571" s="1"/>
      <c r="M571" s="1"/>
      <c r="N571" s="1"/>
      <c r="O571" s="1"/>
      <c r="P571" s="1"/>
      <c r="Q571" s="1"/>
    </row>
    <row r="572" spans="1:17" x14ac:dyDescent="0.25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1"/>
      <c r="L572" s="1"/>
      <c r="M572" s="1"/>
      <c r="N572" s="1"/>
      <c r="O572" s="1"/>
      <c r="P572" s="1"/>
      <c r="Q572" s="1"/>
    </row>
    <row r="573" spans="1:17" x14ac:dyDescent="0.25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1"/>
      <c r="L573" s="1"/>
      <c r="M573" s="1"/>
      <c r="N573" s="1"/>
      <c r="O573" s="1"/>
      <c r="P573" s="1"/>
      <c r="Q573" s="1"/>
    </row>
    <row r="574" spans="1:17" x14ac:dyDescent="0.25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1"/>
      <c r="L574" s="1"/>
      <c r="M574" s="1"/>
      <c r="N574" s="1"/>
      <c r="O574" s="1"/>
      <c r="P574" s="1"/>
      <c r="Q574" s="1"/>
    </row>
    <row r="575" spans="1:17" x14ac:dyDescent="0.25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1"/>
      <c r="L575" s="1"/>
      <c r="M575" s="1"/>
      <c r="N575" s="1"/>
      <c r="O575" s="1"/>
      <c r="P575" s="1"/>
      <c r="Q575" s="1"/>
    </row>
    <row r="576" spans="1:17" x14ac:dyDescent="0.25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1"/>
      <c r="L576" s="1"/>
      <c r="M576" s="1"/>
      <c r="N576" s="1"/>
      <c r="O576" s="1"/>
      <c r="P576" s="1"/>
      <c r="Q576" s="1"/>
    </row>
    <row r="577" spans="1:17" x14ac:dyDescent="0.25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1"/>
      <c r="L577" s="1"/>
      <c r="M577" s="1"/>
      <c r="N577" s="1"/>
      <c r="O577" s="1"/>
      <c r="P577" s="1"/>
      <c r="Q577" s="1"/>
    </row>
    <row r="578" spans="1:17" x14ac:dyDescent="0.25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1"/>
      <c r="L578" s="1"/>
      <c r="M578" s="1"/>
      <c r="N578" s="1"/>
      <c r="O578" s="1"/>
      <c r="P578" s="1"/>
      <c r="Q578" s="1"/>
    </row>
    <row r="579" spans="1:17" x14ac:dyDescent="0.25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1"/>
      <c r="L579" s="1"/>
      <c r="M579" s="1"/>
      <c r="N579" s="1"/>
      <c r="O579" s="1"/>
      <c r="P579" s="1"/>
      <c r="Q579" s="1"/>
    </row>
    <row r="580" spans="1:17" x14ac:dyDescent="0.25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1"/>
      <c r="L580" s="1"/>
      <c r="M580" s="1"/>
      <c r="N580" s="1"/>
      <c r="O580" s="1"/>
      <c r="P580" s="1"/>
      <c r="Q580" s="1"/>
    </row>
    <row r="581" spans="1:17" x14ac:dyDescent="0.25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1"/>
      <c r="L581" s="1"/>
      <c r="M581" s="1"/>
      <c r="N581" s="1"/>
      <c r="O581" s="1"/>
      <c r="P581" s="1"/>
      <c r="Q581" s="1"/>
    </row>
    <row r="582" spans="1:17" x14ac:dyDescent="0.25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1"/>
      <c r="L582" s="1"/>
      <c r="M582" s="1"/>
      <c r="N582" s="1"/>
      <c r="O582" s="1"/>
      <c r="P582" s="1"/>
      <c r="Q582" s="1"/>
    </row>
    <row r="583" spans="1:17" x14ac:dyDescent="0.25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1"/>
      <c r="L583" s="1"/>
      <c r="M583" s="1"/>
      <c r="N583" s="1"/>
      <c r="O583" s="1"/>
      <c r="P583" s="1"/>
      <c r="Q583" s="1"/>
    </row>
    <row r="584" spans="1:17" x14ac:dyDescent="0.25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1"/>
      <c r="L584" s="1"/>
      <c r="M584" s="1"/>
      <c r="N584" s="1"/>
      <c r="O584" s="1"/>
      <c r="P584" s="1"/>
      <c r="Q584" s="1"/>
    </row>
    <row r="585" spans="1:17" x14ac:dyDescent="0.25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1"/>
      <c r="L585" s="1"/>
      <c r="M585" s="1"/>
      <c r="N585" s="1"/>
      <c r="O585" s="1"/>
      <c r="P585" s="1"/>
      <c r="Q585" s="1"/>
    </row>
    <row r="586" spans="1:17" x14ac:dyDescent="0.25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1"/>
      <c r="L586" s="1"/>
      <c r="M586" s="1"/>
      <c r="N586" s="1"/>
      <c r="O586" s="1"/>
      <c r="P586" s="1"/>
      <c r="Q586" s="1"/>
    </row>
    <row r="587" spans="1:17" x14ac:dyDescent="0.25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1"/>
      <c r="L587" s="1"/>
      <c r="M587" s="1"/>
      <c r="N587" s="1"/>
      <c r="O587" s="1"/>
      <c r="P587" s="1"/>
      <c r="Q587" s="1"/>
    </row>
    <row r="588" spans="1:17" x14ac:dyDescent="0.25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1"/>
      <c r="L588" s="1"/>
      <c r="M588" s="1"/>
      <c r="N588" s="1"/>
      <c r="O588" s="1"/>
      <c r="P588" s="1"/>
      <c r="Q588" s="1"/>
    </row>
    <row r="589" spans="1:17" x14ac:dyDescent="0.25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1"/>
      <c r="L589" s="1"/>
      <c r="M589" s="1"/>
      <c r="N589" s="1"/>
      <c r="O589" s="1"/>
      <c r="P589" s="1"/>
      <c r="Q589" s="1"/>
    </row>
    <row r="590" spans="1:17" x14ac:dyDescent="0.25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1"/>
      <c r="L590" s="1"/>
      <c r="M590" s="1"/>
      <c r="N590" s="1"/>
      <c r="O590" s="1"/>
      <c r="P590" s="1"/>
      <c r="Q590" s="1"/>
    </row>
    <row r="591" spans="1:17" x14ac:dyDescent="0.25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1"/>
      <c r="L591" s="1"/>
      <c r="M591" s="1"/>
      <c r="N591" s="1"/>
      <c r="O591" s="1"/>
      <c r="P591" s="1"/>
      <c r="Q591" s="1"/>
    </row>
    <row r="592" spans="1:17" x14ac:dyDescent="0.25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1"/>
      <c r="L592" s="1"/>
      <c r="M592" s="1"/>
      <c r="N592" s="1"/>
      <c r="O592" s="1"/>
      <c r="P592" s="1"/>
      <c r="Q592" s="1"/>
    </row>
    <row r="593" spans="1:17" x14ac:dyDescent="0.25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1"/>
      <c r="L593" s="1"/>
      <c r="M593" s="1"/>
      <c r="N593" s="1"/>
      <c r="O593" s="1"/>
      <c r="P593" s="1"/>
      <c r="Q593" s="1"/>
    </row>
    <row r="594" spans="1:17" x14ac:dyDescent="0.25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1"/>
      <c r="L594" s="1"/>
      <c r="M594" s="1"/>
      <c r="N594" s="1"/>
      <c r="O594" s="1"/>
      <c r="P594" s="1"/>
      <c r="Q594" s="1"/>
    </row>
    <row r="595" spans="1:17" x14ac:dyDescent="0.25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1"/>
      <c r="L595" s="1"/>
      <c r="M595" s="1"/>
      <c r="N595" s="1"/>
      <c r="O595" s="1"/>
      <c r="P595" s="1"/>
      <c r="Q595" s="1"/>
    </row>
    <row r="596" spans="1:1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x14ac:dyDescent="0.25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1"/>
      <c r="L599" s="1"/>
      <c r="M599" s="1"/>
      <c r="N599" s="1"/>
      <c r="O599" s="1"/>
      <c r="P599" s="1"/>
      <c r="Q599" s="1"/>
    </row>
    <row r="600" spans="1:17" x14ac:dyDescent="0.25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1"/>
      <c r="L600" s="1"/>
      <c r="M600" s="1"/>
      <c r="N600" s="1"/>
      <c r="O600" s="1"/>
      <c r="P600" s="1"/>
      <c r="Q600" s="1"/>
    </row>
    <row r="601" spans="1:17" x14ac:dyDescent="0.25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1"/>
      <c r="L601" s="1"/>
      <c r="M601" s="1"/>
      <c r="N601" s="1"/>
      <c r="O601" s="1"/>
      <c r="P601" s="1"/>
      <c r="Q601" s="1"/>
    </row>
    <row r="602" spans="1:17" x14ac:dyDescent="0.25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1"/>
      <c r="L602" s="1"/>
      <c r="M602" s="1"/>
      <c r="N602" s="1"/>
      <c r="O602" s="1"/>
      <c r="P602" s="1"/>
      <c r="Q602" s="1"/>
    </row>
    <row r="603" spans="1:17" x14ac:dyDescent="0.25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1"/>
      <c r="L603" s="1"/>
      <c r="M603" s="1"/>
      <c r="N603" s="1"/>
      <c r="O603" s="1"/>
      <c r="P603" s="1"/>
      <c r="Q603" s="1"/>
    </row>
    <row r="604" spans="1:17" x14ac:dyDescent="0.25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1"/>
      <c r="L604" s="1"/>
      <c r="M604" s="1"/>
      <c r="N604" s="1"/>
      <c r="O604" s="1"/>
      <c r="P604" s="1"/>
      <c r="Q604" s="1"/>
    </row>
    <row r="605" spans="1:17" x14ac:dyDescent="0.25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1"/>
      <c r="L605" s="1"/>
      <c r="M605" s="1"/>
      <c r="N605" s="1"/>
      <c r="O605" s="1"/>
      <c r="P605" s="1"/>
      <c r="Q605" s="1"/>
    </row>
    <row r="606" spans="1:17" x14ac:dyDescent="0.25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1"/>
      <c r="L606" s="1"/>
      <c r="M606" s="1"/>
      <c r="N606" s="1"/>
      <c r="O606" s="1"/>
      <c r="P606" s="1"/>
      <c r="Q606" s="1"/>
    </row>
    <row r="607" spans="1:17" x14ac:dyDescent="0.25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1"/>
      <c r="L607" s="1"/>
      <c r="M607" s="1"/>
      <c r="N607" s="1"/>
      <c r="O607" s="1"/>
      <c r="P607" s="1"/>
      <c r="Q607" s="1"/>
    </row>
    <row r="608" spans="1:17" x14ac:dyDescent="0.25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1"/>
      <c r="L608" s="1"/>
      <c r="M608" s="1"/>
      <c r="N608" s="1"/>
      <c r="O608" s="1"/>
      <c r="P608" s="1"/>
      <c r="Q608" s="1"/>
    </row>
    <row r="609" spans="1:17" x14ac:dyDescent="0.25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1"/>
      <c r="L609" s="1"/>
      <c r="M609" s="1"/>
      <c r="N609" s="1"/>
      <c r="O609" s="1"/>
      <c r="P609" s="1"/>
      <c r="Q609" s="1"/>
    </row>
    <row r="610" spans="1:17" x14ac:dyDescent="0.25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1"/>
      <c r="L610" s="1"/>
      <c r="M610" s="1"/>
      <c r="N610" s="1"/>
      <c r="O610" s="1"/>
      <c r="P610" s="1"/>
      <c r="Q610" s="1"/>
    </row>
    <row r="611" spans="1:17" x14ac:dyDescent="0.25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1"/>
      <c r="L611" s="1"/>
      <c r="M611" s="1"/>
      <c r="N611" s="1"/>
      <c r="O611" s="1"/>
      <c r="P611" s="1"/>
      <c r="Q611" s="1"/>
    </row>
    <row r="612" spans="1:17" x14ac:dyDescent="0.25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1"/>
      <c r="L612" s="1"/>
      <c r="M612" s="1"/>
      <c r="N612" s="1"/>
      <c r="O612" s="1"/>
      <c r="P612" s="1"/>
      <c r="Q612" s="1"/>
    </row>
    <row r="613" spans="1:17" x14ac:dyDescent="0.25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1"/>
      <c r="L613" s="1"/>
      <c r="M613" s="1"/>
      <c r="N613" s="1"/>
      <c r="O613" s="1"/>
      <c r="P613" s="1"/>
      <c r="Q613" s="1"/>
    </row>
    <row r="614" spans="1:17" x14ac:dyDescent="0.25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1"/>
      <c r="L614" s="1"/>
      <c r="M614" s="1"/>
      <c r="N614" s="1"/>
      <c r="O614" s="1"/>
      <c r="P614" s="1"/>
      <c r="Q614" s="1"/>
    </row>
    <row r="615" spans="1:17" x14ac:dyDescent="0.25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1"/>
      <c r="L615" s="1"/>
      <c r="M615" s="1"/>
      <c r="N615" s="1"/>
      <c r="O615" s="1"/>
      <c r="P615" s="1"/>
      <c r="Q615" s="1"/>
    </row>
    <row r="616" spans="1:17" x14ac:dyDescent="0.25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1"/>
      <c r="L616" s="1"/>
      <c r="M616" s="1"/>
      <c r="N616" s="1"/>
      <c r="O616" s="1"/>
      <c r="P616" s="1"/>
      <c r="Q616" s="1"/>
    </row>
    <row r="617" spans="1:17" x14ac:dyDescent="0.25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1"/>
      <c r="L617" s="1"/>
      <c r="M617" s="1"/>
      <c r="N617" s="1"/>
      <c r="O617" s="1"/>
      <c r="P617" s="1"/>
      <c r="Q617" s="1"/>
    </row>
    <row r="618" spans="1:17" x14ac:dyDescent="0.25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1"/>
      <c r="L618" s="1"/>
      <c r="M618" s="1"/>
      <c r="N618" s="1"/>
      <c r="O618" s="1"/>
      <c r="P618" s="1"/>
      <c r="Q618" s="1"/>
    </row>
    <row r="619" spans="1:17" x14ac:dyDescent="0.25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1"/>
      <c r="L619" s="1"/>
      <c r="M619" s="1"/>
      <c r="N619" s="1"/>
      <c r="O619" s="1"/>
      <c r="P619" s="1"/>
      <c r="Q619" s="1"/>
    </row>
    <row r="620" spans="1:17" x14ac:dyDescent="0.25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1"/>
      <c r="L620" s="1"/>
      <c r="M620" s="1"/>
      <c r="N620" s="1"/>
      <c r="O620" s="1"/>
      <c r="P620" s="1"/>
      <c r="Q620" s="1"/>
    </row>
    <row r="621" spans="1:17" x14ac:dyDescent="0.25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1"/>
      <c r="L621" s="1"/>
      <c r="M621" s="1"/>
      <c r="N621" s="1"/>
      <c r="O621" s="1"/>
      <c r="P621" s="1"/>
      <c r="Q621" s="1"/>
    </row>
    <row r="622" spans="1:17" x14ac:dyDescent="0.25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1"/>
      <c r="L622" s="1"/>
      <c r="M622" s="1"/>
      <c r="N622" s="1"/>
      <c r="O622" s="1"/>
      <c r="P622" s="1"/>
      <c r="Q622" s="1"/>
    </row>
    <row r="623" spans="1:17" x14ac:dyDescent="0.25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1"/>
      <c r="L623" s="1"/>
      <c r="M623" s="1"/>
      <c r="N623" s="1"/>
      <c r="O623" s="1"/>
      <c r="P623" s="1"/>
      <c r="Q623" s="1"/>
    </row>
    <row r="624" spans="1:17" x14ac:dyDescent="0.25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1"/>
      <c r="L624" s="1"/>
      <c r="M624" s="1"/>
      <c r="N624" s="1"/>
      <c r="O624" s="1"/>
      <c r="P624" s="1"/>
      <c r="Q624" s="1"/>
    </row>
    <row r="625" spans="1:17" x14ac:dyDescent="0.25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1"/>
      <c r="L625" s="1"/>
      <c r="M625" s="1"/>
      <c r="N625" s="1"/>
      <c r="O625" s="1"/>
      <c r="P625" s="1"/>
      <c r="Q625" s="1"/>
    </row>
    <row r="626" spans="1:17" x14ac:dyDescent="0.25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1"/>
      <c r="L626" s="1"/>
      <c r="M626" s="1"/>
      <c r="N626" s="1"/>
      <c r="O626" s="1"/>
      <c r="P626" s="1"/>
      <c r="Q626" s="1"/>
    </row>
    <row r="627" spans="1:17" x14ac:dyDescent="0.25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1"/>
      <c r="L627" s="1"/>
      <c r="M627" s="1"/>
      <c r="N627" s="1"/>
      <c r="O627" s="1"/>
      <c r="P627" s="1"/>
      <c r="Q627" s="1"/>
    </row>
    <row r="628" spans="1:17" x14ac:dyDescent="0.25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1"/>
      <c r="L628" s="1"/>
      <c r="M628" s="1"/>
      <c r="N628" s="1"/>
      <c r="O628" s="1"/>
      <c r="P628" s="1"/>
      <c r="Q628" s="1"/>
    </row>
    <row r="629" spans="1:17" x14ac:dyDescent="0.25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1"/>
      <c r="L629" s="1"/>
      <c r="M629" s="1"/>
      <c r="N629" s="1"/>
      <c r="O629" s="1"/>
      <c r="P629" s="1"/>
      <c r="Q629" s="1"/>
    </row>
    <row r="630" spans="1:17" x14ac:dyDescent="0.25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1"/>
      <c r="L630" s="1"/>
      <c r="M630" s="1"/>
      <c r="N630" s="1"/>
      <c r="O630" s="1"/>
      <c r="P630" s="1"/>
      <c r="Q630" s="1"/>
    </row>
    <row r="631" spans="1:17" x14ac:dyDescent="0.25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1"/>
      <c r="L631" s="1"/>
      <c r="M631" s="1"/>
      <c r="N631" s="1"/>
      <c r="O631" s="1"/>
      <c r="P631" s="1"/>
      <c r="Q631" s="1"/>
    </row>
    <row r="632" spans="1:17" x14ac:dyDescent="0.25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1"/>
      <c r="L632" s="1"/>
      <c r="M632" s="1"/>
      <c r="N632" s="1"/>
      <c r="O632" s="1"/>
      <c r="P632" s="1"/>
      <c r="Q632" s="1"/>
    </row>
    <row r="633" spans="1:17" x14ac:dyDescent="0.25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1"/>
      <c r="L633" s="1"/>
      <c r="M633" s="1"/>
      <c r="N633" s="1"/>
      <c r="O633" s="1"/>
      <c r="P633" s="1"/>
      <c r="Q633" s="1"/>
    </row>
    <row r="634" spans="1:17" x14ac:dyDescent="0.25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1"/>
      <c r="L634" s="1"/>
      <c r="M634" s="1"/>
      <c r="N634" s="1"/>
      <c r="O634" s="1"/>
      <c r="P634" s="1"/>
      <c r="Q634" s="1"/>
    </row>
    <row r="635" spans="1:17" x14ac:dyDescent="0.25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1"/>
      <c r="L635" s="1"/>
      <c r="M635" s="1"/>
      <c r="N635" s="1"/>
      <c r="O635" s="1"/>
      <c r="P635" s="1"/>
      <c r="Q635" s="1"/>
    </row>
    <row r="636" spans="1:17" x14ac:dyDescent="0.25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1"/>
      <c r="L636" s="1"/>
      <c r="M636" s="1"/>
      <c r="N636" s="1"/>
      <c r="O636" s="1"/>
      <c r="P636" s="1"/>
      <c r="Q636" s="1"/>
    </row>
    <row r="637" spans="1:17" x14ac:dyDescent="0.25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1"/>
      <c r="L637" s="1"/>
      <c r="M637" s="1"/>
      <c r="N637" s="1"/>
      <c r="O637" s="1"/>
      <c r="P637" s="1"/>
      <c r="Q637" s="1"/>
    </row>
    <row r="638" spans="1:17" x14ac:dyDescent="0.25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1"/>
      <c r="L638" s="1"/>
      <c r="M638" s="1"/>
      <c r="N638" s="1"/>
      <c r="O638" s="1"/>
      <c r="P638" s="1"/>
      <c r="Q638" s="1"/>
    </row>
    <row r="639" spans="1:17" x14ac:dyDescent="0.25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1"/>
      <c r="L639" s="1"/>
      <c r="M639" s="1"/>
      <c r="N639" s="1"/>
      <c r="O639" s="1"/>
      <c r="P639" s="1"/>
      <c r="Q639" s="1"/>
    </row>
    <row r="640" spans="1:17" x14ac:dyDescent="0.25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1"/>
      <c r="L640" s="1"/>
      <c r="M640" s="1"/>
      <c r="N640" s="1"/>
      <c r="O640" s="1"/>
      <c r="P640" s="1"/>
      <c r="Q640" s="1"/>
    </row>
    <row r="641" spans="1:17" x14ac:dyDescent="0.25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1"/>
      <c r="L641" s="1"/>
      <c r="M641" s="1"/>
      <c r="N641" s="1"/>
      <c r="O641" s="1"/>
      <c r="P641" s="1"/>
      <c r="Q641" s="1"/>
    </row>
    <row r="642" spans="1:17" x14ac:dyDescent="0.25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1"/>
      <c r="L642" s="1"/>
      <c r="M642" s="1"/>
      <c r="N642" s="1"/>
      <c r="O642" s="1"/>
      <c r="P642" s="1"/>
      <c r="Q642" s="1"/>
    </row>
    <row r="643" spans="1:17" x14ac:dyDescent="0.25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1"/>
      <c r="L643" s="1"/>
      <c r="M643" s="1"/>
      <c r="N643" s="1"/>
      <c r="O643" s="1"/>
      <c r="P643" s="1"/>
      <c r="Q643" s="1"/>
    </row>
    <row r="644" spans="1:17" x14ac:dyDescent="0.25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1"/>
      <c r="L644" s="1"/>
      <c r="M644" s="1"/>
      <c r="N644" s="1"/>
      <c r="O644" s="1"/>
      <c r="P644" s="1"/>
      <c r="Q644" s="1"/>
    </row>
    <row r="645" spans="1:17" x14ac:dyDescent="0.25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1"/>
      <c r="L645" s="1"/>
      <c r="M645" s="1"/>
      <c r="N645" s="1"/>
      <c r="O645" s="1"/>
      <c r="P645" s="1"/>
      <c r="Q645" s="1"/>
    </row>
    <row r="646" spans="1:17" x14ac:dyDescent="0.25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1"/>
      <c r="L646" s="1"/>
      <c r="M646" s="1"/>
      <c r="N646" s="1"/>
      <c r="O646" s="1"/>
      <c r="P646" s="1"/>
      <c r="Q646" s="1"/>
    </row>
    <row r="647" spans="1:17" x14ac:dyDescent="0.25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1"/>
      <c r="L647" s="1"/>
      <c r="M647" s="1"/>
      <c r="N647" s="1"/>
      <c r="O647" s="1"/>
      <c r="P647" s="1"/>
      <c r="Q647" s="1"/>
    </row>
    <row r="648" spans="1:17" x14ac:dyDescent="0.25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1"/>
      <c r="L648" s="1"/>
      <c r="M648" s="1"/>
      <c r="N648" s="1"/>
      <c r="O648" s="1"/>
      <c r="P648" s="1"/>
      <c r="Q648" s="1"/>
    </row>
    <row r="649" spans="1:17" x14ac:dyDescent="0.25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1"/>
      <c r="L649" s="1"/>
      <c r="M649" s="1"/>
      <c r="N649" s="1"/>
      <c r="O649" s="1"/>
      <c r="P649" s="1"/>
      <c r="Q649" s="1"/>
    </row>
    <row r="650" spans="1:17" x14ac:dyDescent="0.25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1"/>
      <c r="L650" s="1"/>
      <c r="M650" s="1"/>
      <c r="N650" s="1"/>
      <c r="O650" s="1"/>
      <c r="P650" s="1"/>
      <c r="Q650" s="1"/>
    </row>
    <row r="651" spans="1:17" x14ac:dyDescent="0.25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1"/>
      <c r="L651" s="1"/>
      <c r="M651" s="1"/>
      <c r="N651" s="1"/>
      <c r="O651" s="1"/>
      <c r="P651" s="1"/>
      <c r="Q651" s="1"/>
    </row>
    <row r="652" spans="1:17" x14ac:dyDescent="0.25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1"/>
      <c r="L652" s="1"/>
      <c r="M652" s="1"/>
      <c r="N652" s="1"/>
      <c r="O652" s="1"/>
      <c r="P652" s="1"/>
      <c r="Q652" s="1"/>
    </row>
    <row r="653" spans="1:17" x14ac:dyDescent="0.25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1"/>
      <c r="L653" s="1"/>
      <c r="M653" s="1"/>
      <c r="N653" s="1"/>
      <c r="O653" s="1"/>
      <c r="P653" s="1"/>
      <c r="Q653" s="1"/>
    </row>
    <row r="654" spans="1:17" x14ac:dyDescent="0.25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1"/>
      <c r="L654" s="1"/>
      <c r="M654" s="1"/>
      <c r="N654" s="1"/>
      <c r="O654" s="1"/>
      <c r="P654" s="1"/>
      <c r="Q654" s="1"/>
    </row>
    <row r="655" spans="1:17" x14ac:dyDescent="0.25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1"/>
      <c r="L655" s="1"/>
      <c r="M655" s="1"/>
      <c r="N655" s="1"/>
      <c r="O655" s="1"/>
      <c r="P655" s="1"/>
      <c r="Q655" s="1"/>
    </row>
    <row r="656" spans="1:17" x14ac:dyDescent="0.25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1"/>
      <c r="L656" s="1"/>
      <c r="M656" s="1"/>
      <c r="N656" s="1"/>
      <c r="O656" s="1"/>
      <c r="P656" s="1"/>
      <c r="Q656" s="1"/>
    </row>
    <row r="657" spans="1:17" x14ac:dyDescent="0.25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1"/>
      <c r="L657" s="1"/>
      <c r="M657" s="1"/>
      <c r="N657" s="1"/>
      <c r="O657" s="1"/>
      <c r="P657" s="1"/>
      <c r="Q657" s="1"/>
    </row>
    <row r="658" spans="1:17" x14ac:dyDescent="0.25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1"/>
      <c r="L658" s="1"/>
      <c r="M658" s="1"/>
      <c r="N658" s="1"/>
      <c r="O658" s="1"/>
      <c r="P658" s="1"/>
      <c r="Q658" s="1"/>
    </row>
    <row r="659" spans="1:17" x14ac:dyDescent="0.25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1"/>
      <c r="L659" s="1"/>
      <c r="M659" s="1"/>
      <c r="N659" s="1"/>
      <c r="O659" s="1"/>
      <c r="P659" s="1"/>
      <c r="Q659" s="1"/>
    </row>
    <row r="660" spans="1:17" x14ac:dyDescent="0.25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1"/>
      <c r="L660" s="1"/>
      <c r="M660" s="1"/>
      <c r="N660" s="1"/>
      <c r="O660" s="1"/>
      <c r="P660" s="1"/>
      <c r="Q660" s="1"/>
    </row>
    <row r="661" spans="1:17" x14ac:dyDescent="0.25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1"/>
      <c r="L661" s="1"/>
      <c r="M661" s="1"/>
      <c r="N661" s="1"/>
      <c r="O661" s="1"/>
      <c r="P661" s="1"/>
      <c r="Q661" s="1"/>
    </row>
    <row r="662" spans="1:17" x14ac:dyDescent="0.25">
      <c r="A662" s="1"/>
      <c r="B662" s="1"/>
      <c r="C662" s="1"/>
      <c r="D662" s="1"/>
      <c r="E662" s="1"/>
      <c r="F662" s="1"/>
      <c r="G662" s="1"/>
      <c r="H662" s="1"/>
      <c r="I662" s="2"/>
      <c r="J662" s="2"/>
      <c r="K662" s="1"/>
      <c r="L662" s="1"/>
      <c r="M662" s="1"/>
      <c r="N662" s="1"/>
      <c r="O662" s="1"/>
      <c r="P662" s="1"/>
      <c r="Q662" s="1"/>
    </row>
    <row r="663" spans="1:17" x14ac:dyDescent="0.25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1"/>
      <c r="L663" s="1"/>
      <c r="M663" s="1"/>
      <c r="N663" s="1"/>
      <c r="O663" s="1"/>
      <c r="P663" s="1"/>
      <c r="Q663" s="1"/>
    </row>
    <row r="664" spans="1:17" x14ac:dyDescent="0.25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1"/>
      <c r="L664" s="1"/>
      <c r="M664" s="1"/>
      <c r="N664" s="1"/>
      <c r="O664" s="1"/>
      <c r="P664" s="1"/>
      <c r="Q664" s="1"/>
    </row>
    <row r="665" spans="1:17" x14ac:dyDescent="0.25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1"/>
      <c r="L665" s="1"/>
      <c r="M665" s="1"/>
      <c r="N665" s="1"/>
      <c r="O665" s="1"/>
      <c r="P665" s="1"/>
      <c r="Q665" s="1"/>
    </row>
    <row r="666" spans="1:17" x14ac:dyDescent="0.25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1"/>
      <c r="L666" s="1"/>
      <c r="M666" s="1"/>
      <c r="N666" s="1"/>
      <c r="O666" s="1"/>
      <c r="P666" s="1"/>
      <c r="Q666" s="1"/>
    </row>
    <row r="667" spans="1:17" x14ac:dyDescent="0.25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1"/>
      <c r="L667" s="1"/>
      <c r="M667" s="1"/>
      <c r="N667" s="1"/>
      <c r="O667" s="1"/>
      <c r="P667" s="1"/>
      <c r="Q667" s="1"/>
    </row>
    <row r="668" spans="1:17" x14ac:dyDescent="0.25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1"/>
      <c r="L668" s="1"/>
      <c r="M668" s="1"/>
      <c r="N668" s="1"/>
      <c r="O668" s="1"/>
      <c r="P668" s="1"/>
      <c r="Q668" s="1"/>
    </row>
    <row r="669" spans="1:17" x14ac:dyDescent="0.25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1"/>
      <c r="L669" s="1"/>
      <c r="M669" s="1"/>
      <c r="N669" s="1"/>
      <c r="O669" s="1"/>
      <c r="P669" s="1"/>
      <c r="Q669" s="1"/>
    </row>
    <row r="670" spans="1:17" x14ac:dyDescent="0.25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1"/>
      <c r="L670" s="1"/>
      <c r="M670" s="1"/>
      <c r="N670" s="1"/>
      <c r="O670" s="1"/>
      <c r="P670" s="1"/>
      <c r="Q670" s="1"/>
    </row>
    <row r="671" spans="1:17" x14ac:dyDescent="0.25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1"/>
      <c r="L671" s="1"/>
      <c r="M671" s="1"/>
      <c r="N671" s="1"/>
      <c r="O671" s="1"/>
      <c r="P671" s="1"/>
      <c r="Q671" s="1"/>
    </row>
    <row r="672" spans="1:17" x14ac:dyDescent="0.25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1"/>
      <c r="L672" s="1"/>
      <c r="M672" s="1"/>
      <c r="N672" s="1"/>
      <c r="O672" s="1"/>
      <c r="P672" s="1"/>
      <c r="Q672" s="1"/>
    </row>
    <row r="673" spans="1:17" x14ac:dyDescent="0.25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1"/>
      <c r="L673" s="1"/>
      <c r="M673" s="1"/>
      <c r="N673" s="1"/>
      <c r="O673" s="1"/>
      <c r="P673" s="1"/>
      <c r="Q673" s="1"/>
    </row>
    <row r="674" spans="1:17" x14ac:dyDescent="0.25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1"/>
      <c r="L674" s="1"/>
      <c r="M674" s="1"/>
      <c r="N674" s="1"/>
      <c r="O674" s="1"/>
      <c r="P674" s="1"/>
      <c r="Q674" s="1"/>
    </row>
    <row r="675" spans="1:17" x14ac:dyDescent="0.25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1"/>
      <c r="L675" s="1"/>
      <c r="M675" s="1"/>
      <c r="N675" s="1"/>
      <c r="O675" s="1"/>
      <c r="P675" s="1"/>
      <c r="Q675" s="1"/>
    </row>
    <row r="676" spans="1:17" x14ac:dyDescent="0.25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1"/>
      <c r="L676" s="1"/>
      <c r="M676" s="1"/>
      <c r="N676" s="1"/>
      <c r="O676" s="1"/>
      <c r="P676" s="1"/>
      <c r="Q676" s="1"/>
    </row>
    <row r="677" spans="1:17" x14ac:dyDescent="0.25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1"/>
      <c r="L677" s="1"/>
      <c r="M677" s="1"/>
      <c r="N677" s="1"/>
      <c r="O677" s="1"/>
      <c r="P677" s="1"/>
      <c r="Q677" s="1"/>
    </row>
    <row r="678" spans="1:17" x14ac:dyDescent="0.25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1"/>
      <c r="L678" s="1"/>
      <c r="M678" s="1"/>
      <c r="N678" s="1"/>
      <c r="O678" s="1"/>
      <c r="P678" s="1"/>
      <c r="Q678" s="1"/>
    </row>
    <row r="679" spans="1:17" x14ac:dyDescent="0.25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1"/>
      <c r="L679" s="1"/>
      <c r="M679" s="1"/>
      <c r="N679" s="1"/>
      <c r="O679" s="1"/>
      <c r="P679" s="1"/>
      <c r="Q679" s="1"/>
    </row>
    <row r="680" spans="1:17" x14ac:dyDescent="0.25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1"/>
      <c r="L680" s="1"/>
      <c r="M680" s="1"/>
      <c r="N680" s="1"/>
      <c r="O680" s="1"/>
      <c r="P680" s="1"/>
      <c r="Q680" s="1"/>
    </row>
    <row r="681" spans="1:17" x14ac:dyDescent="0.25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1"/>
      <c r="L681" s="1"/>
      <c r="M681" s="1"/>
      <c r="N681" s="1"/>
      <c r="O681" s="1"/>
      <c r="P681" s="1"/>
      <c r="Q681" s="1"/>
    </row>
    <row r="682" spans="1:17" x14ac:dyDescent="0.25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1"/>
      <c r="L682" s="1"/>
      <c r="M682" s="1"/>
      <c r="N682" s="1"/>
      <c r="O682" s="1"/>
      <c r="P682" s="1"/>
      <c r="Q682" s="1"/>
    </row>
    <row r="683" spans="1:17" x14ac:dyDescent="0.25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1"/>
      <c r="L683" s="1"/>
      <c r="M683" s="1"/>
      <c r="N683" s="1"/>
      <c r="O683" s="1"/>
      <c r="P683" s="1"/>
      <c r="Q683" s="1"/>
    </row>
    <row r="684" spans="1:17" x14ac:dyDescent="0.25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1"/>
      <c r="L684" s="1"/>
      <c r="M684" s="1"/>
      <c r="N684" s="1"/>
      <c r="O684" s="1"/>
      <c r="P684" s="1"/>
      <c r="Q684" s="1"/>
    </row>
    <row r="685" spans="1:17" x14ac:dyDescent="0.25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1"/>
      <c r="L685" s="1"/>
      <c r="M685" s="1"/>
      <c r="N685" s="1"/>
      <c r="O685" s="1"/>
      <c r="P685" s="1"/>
      <c r="Q685" s="1"/>
    </row>
    <row r="686" spans="1:17" x14ac:dyDescent="0.25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1"/>
      <c r="L686" s="1"/>
      <c r="M686" s="1"/>
      <c r="N686" s="1"/>
      <c r="O686" s="1"/>
      <c r="P686" s="1"/>
      <c r="Q686" s="1"/>
    </row>
    <row r="687" spans="1:17" x14ac:dyDescent="0.25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1"/>
      <c r="L687" s="1"/>
      <c r="M687" s="1"/>
      <c r="N687" s="1"/>
      <c r="O687" s="1"/>
      <c r="P687" s="1"/>
      <c r="Q687" s="1"/>
    </row>
    <row r="688" spans="1:17" x14ac:dyDescent="0.25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1"/>
      <c r="L688" s="1"/>
      <c r="M688" s="1"/>
      <c r="N688" s="1"/>
      <c r="O688" s="1"/>
      <c r="P688" s="1"/>
      <c r="Q688" s="1"/>
    </row>
    <row r="689" spans="1:17" x14ac:dyDescent="0.25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1"/>
      <c r="L689" s="1"/>
      <c r="M689" s="1"/>
      <c r="N689" s="1"/>
      <c r="O689" s="1"/>
      <c r="P689" s="1"/>
      <c r="Q689" s="1"/>
    </row>
    <row r="690" spans="1:17" x14ac:dyDescent="0.25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1"/>
      <c r="L690" s="1"/>
      <c r="M690" s="1"/>
      <c r="N690" s="1"/>
      <c r="O690" s="1"/>
      <c r="P690" s="1"/>
      <c r="Q690" s="1"/>
    </row>
    <row r="691" spans="1:17" x14ac:dyDescent="0.25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1"/>
      <c r="L691" s="1"/>
      <c r="M691" s="1"/>
      <c r="N691" s="1"/>
      <c r="O691" s="1"/>
      <c r="P691" s="1"/>
      <c r="Q691" s="1"/>
    </row>
    <row r="692" spans="1:17" x14ac:dyDescent="0.25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1"/>
      <c r="L692" s="1"/>
      <c r="M692" s="1"/>
      <c r="N692" s="1"/>
      <c r="O692" s="1"/>
      <c r="P692" s="1"/>
      <c r="Q692" s="1"/>
    </row>
    <row r="693" spans="1:17" x14ac:dyDescent="0.25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1"/>
      <c r="L693" s="1"/>
      <c r="M693" s="1"/>
      <c r="N693" s="1"/>
      <c r="O693" s="1"/>
      <c r="P693" s="1"/>
      <c r="Q693" s="1"/>
    </row>
    <row r="694" spans="1:17" x14ac:dyDescent="0.25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1"/>
      <c r="L694" s="1"/>
      <c r="M694" s="1"/>
      <c r="N694" s="1"/>
      <c r="O694" s="1"/>
      <c r="P694" s="1"/>
      <c r="Q694" s="1"/>
    </row>
    <row r="695" spans="1:17" x14ac:dyDescent="0.25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1"/>
      <c r="L695" s="1"/>
      <c r="M695" s="1"/>
      <c r="N695" s="1"/>
      <c r="O695" s="1"/>
      <c r="P695" s="1"/>
      <c r="Q695" s="1"/>
    </row>
    <row r="696" spans="1:17" x14ac:dyDescent="0.25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1"/>
      <c r="L696" s="1"/>
      <c r="M696" s="1"/>
      <c r="N696" s="1"/>
      <c r="O696" s="1"/>
      <c r="P696" s="1"/>
      <c r="Q696" s="1"/>
    </row>
    <row r="697" spans="1:17" x14ac:dyDescent="0.25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1"/>
      <c r="L697" s="1"/>
      <c r="M697" s="1"/>
      <c r="N697" s="1"/>
      <c r="O697" s="1"/>
      <c r="P697" s="1"/>
      <c r="Q697" s="1"/>
    </row>
    <row r="698" spans="1:17" x14ac:dyDescent="0.25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1"/>
      <c r="L698" s="1"/>
      <c r="M698" s="1"/>
      <c r="N698" s="1"/>
      <c r="O698" s="1"/>
      <c r="P698" s="1"/>
      <c r="Q698" s="1"/>
    </row>
    <row r="699" spans="1:17" x14ac:dyDescent="0.25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1"/>
      <c r="L699" s="1"/>
      <c r="M699" s="1"/>
      <c r="N699" s="1"/>
      <c r="O699" s="1"/>
      <c r="P699" s="1"/>
      <c r="Q699" s="1"/>
    </row>
    <row r="700" spans="1:17" x14ac:dyDescent="0.25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1"/>
      <c r="L700" s="1"/>
      <c r="M700" s="1"/>
      <c r="N700" s="1"/>
      <c r="O700" s="1"/>
      <c r="P700" s="1"/>
      <c r="Q700" s="1"/>
    </row>
    <row r="701" spans="1:17" x14ac:dyDescent="0.25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1"/>
      <c r="L701" s="1"/>
      <c r="M701" s="1"/>
      <c r="N701" s="1"/>
      <c r="O701" s="1"/>
      <c r="P701" s="1"/>
      <c r="Q701" s="1"/>
    </row>
    <row r="702" spans="1:17" x14ac:dyDescent="0.25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1"/>
      <c r="L702" s="1"/>
      <c r="M702" s="1"/>
      <c r="N702" s="1"/>
      <c r="O702" s="1"/>
      <c r="P702" s="1"/>
      <c r="Q702" s="1"/>
    </row>
    <row r="703" spans="1:17" x14ac:dyDescent="0.25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1"/>
      <c r="L703" s="1"/>
      <c r="M703" s="1"/>
      <c r="N703" s="1"/>
      <c r="O703" s="1"/>
      <c r="P703" s="1"/>
      <c r="Q703" s="1"/>
    </row>
    <row r="704" spans="1:17" x14ac:dyDescent="0.25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1"/>
      <c r="L704" s="1"/>
      <c r="M704" s="1"/>
      <c r="N704" s="1"/>
      <c r="O704" s="1"/>
      <c r="P704" s="1"/>
      <c r="Q704" s="1"/>
    </row>
    <row r="705" spans="1:17" x14ac:dyDescent="0.25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1"/>
      <c r="L705" s="1"/>
      <c r="M705" s="1"/>
      <c r="N705" s="1"/>
      <c r="O705" s="1"/>
      <c r="P705" s="1"/>
      <c r="Q705" s="1"/>
    </row>
    <row r="706" spans="1:17" x14ac:dyDescent="0.25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1"/>
      <c r="L706" s="1"/>
      <c r="M706" s="1"/>
      <c r="N706" s="1"/>
      <c r="O706" s="1"/>
      <c r="P706" s="1"/>
      <c r="Q706" s="1"/>
    </row>
    <row r="707" spans="1:17" x14ac:dyDescent="0.25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1"/>
      <c r="L707" s="1"/>
      <c r="M707" s="1"/>
      <c r="N707" s="1"/>
      <c r="O707" s="1"/>
      <c r="P707" s="1"/>
      <c r="Q707" s="1"/>
    </row>
    <row r="708" spans="1:17" x14ac:dyDescent="0.25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1"/>
      <c r="L708" s="1"/>
      <c r="M708" s="1"/>
      <c r="N708" s="1"/>
      <c r="O708" s="1"/>
      <c r="P708" s="1"/>
      <c r="Q708" s="1"/>
    </row>
    <row r="709" spans="1:17" x14ac:dyDescent="0.25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1"/>
      <c r="L709" s="1"/>
      <c r="M709" s="1"/>
      <c r="N709" s="1"/>
      <c r="O709" s="1"/>
      <c r="P709" s="1"/>
      <c r="Q709" s="1"/>
    </row>
    <row r="710" spans="1:17" x14ac:dyDescent="0.25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1"/>
      <c r="L710" s="1"/>
      <c r="M710" s="1"/>
      <c r="N710" s="1"/>
      <c r="O710" s="1"/>
      <c r="P710" s="1"/>
      <c r="Q710" s="1"/>
    </row>
    <row r="711" spans="1:17" x14ac:dyDescent="0.25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1"/>
      <c r="L711" s="1"/>
      <c r="M711" s="1"/>
      <c r="N711" s="1"/>
      <c r="O711" s="1"/>
      <c r="P711" s="1"/>
      <c r="Q711" s="1"/>
    </row>
    <row r="712" spans="1:17" x14ac:dyDescent="0.25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1"/>
      <c r="L712" s="1"/>
      <c r="M712" s="1"/>
      <c r="N712" s="1"/>
      <c r="O712" s="1"/>
      <c r="P712" s="1"/>
      <c r="Q712" s="1"/>
    </row>
    <row r="713" spans="1:17" x14ac:dyDescent="0.25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1"/>
      <c r="L713" s="1"/>
      <c r="M713" s="1"/>
      <c r="N713" s="1"/>
      <c r="O713" s="1"/>
      <c r="P713" s="1"/>
      <c r="Q713" s="1"/>
    </row>
    <row r="714" spans="1:17" x14ac:dyDescent="0.25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1"/>
      <c r="L714" s="1"/>
      <c r="M714" s="1"/>
      <c r="N714" s="1"/>
      <c r="O714" s="1"/>
      <c r="P714" s="1"/>
      <c r="Q714" s="1"/>
    </row>
    <row r="715" spans="1:17" x14ac:dyDescent="0.25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1"/>
      <c r="L715" s="1"/>
      <c r="M715" s="1"/>
      <c r="N715" s="1"/>
      <c r="O715" s="1"/>
      <c r="P715" s="1"/>
      <c r="Q715" s="1"/>
    </row>
    <row r="716" spans="1:17" x14ac:dyDescent="0.25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1"/>
      <c r="L716" s="1"/>
      <c r="M716" s="1"/>
      <c r="N716" s="1"/>
      <c r="O716" s="1"/>
      <c r="P716" s="1"/>
      <c r="Q716" s="1"/>
    </row>
    <row r="717" spans="1:17" x14ac:dyDescent="0.25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1"/>
      <c r="L717" s="1"/>
      <c r="M717" s="1"/>
      <c r="N717" s="1"/>
      <c r="O717" s="1"/>
      <c r="P717" s="1"/>
      <c r="Q717" s="1"/>
    </row>
    <row r="718" spans="1:17" x14ac:dyDescent="0.25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1"/>
      <c r="L718" s="1"/>
      <c r="M718" s="1"/>
      <c r="N718" s="1"/>
      <c r="O718" s="1"/>
      <c r="P718" s="1"/>
      <c r="Q718" s="1"/>
    </row>
    <row r="719" spans="1:17" x14ac:dyDescent="0.25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1"/>
      <c r="L719" s="1"/>
      <c r="M719" s="1"/>
      <c r="N719" s="1"/>
      <c r="O719" s="1"/>
      <c r="P719" s="1"/>
      <c r="Q719" s="1"/>
    </row>
    <row r="720" spans="1:17" x14ac:dyDescent="0.25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1"/>
      <c r="L720" s="1"/>
      <c r="M720" s="1"/>
      <c r="N720" s="1"/>
      <c r="O720" s="1"/>
      <c r="P720" s="1"/>
      <c r="Q720" s="1"/>
    </row>
    <row r="721" spans="1:17" x14ac:dyDescent="0.25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1"/>
      <c r="L721" s="1"/>
      <c r="M721" s="1"/>
      <c r="N721" s="1"/>
      <c r="O721" s="1"/>
      <c r="P721" s="1"/>
      <c r="Q721" s="1"/>
    </row>
    <row r="722" spans="1:17" x14ac:dyDescent="0.25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1"/>
      <c r="L722" s="1"/>
      <c r="M722" s="1"/>
      <c r="N722" s="1"/>
      <c r="O722" s="1"/>
      <c r="P722" s="1"/>
      <c r="Q722" s="1"/>
    </row>
    <row r="723" spans="1:17" x14ac:dyDescent="0.25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1"/>
      <c r="L723" s="1"/>
      <c r="M723" s="1"/>
      <c r="N723" s="1"/>
      <c r="O723" s="1"/>
      <c r="P723" s="1"/>
      <c r="Q723" s="1"/>
    </row>
    <row r="724" spans="1:17" x14ac:dyDescent="0.25">
      <c r="A724" s="1"/>
      <c r="B724" s="1"/>
      <c r="C724" s="1"/>
      <c r="D724" s="1"/>
      <c r="E724" s="1"/>
      <c r="F724" s="1"/>
      <c r="G724" s="1"/>
      <c r="H724" s="2"/>
      <c r="I724" s="2"/>
      <c r="J724" s="2"/>
      <c r="K724" s="1"/>
      <c r="L724" s="1"/>
      <c r="M724" s="1"/>
      <c r="N724" s="1"/>
      <c r="O724" s="1"/>
      <c r="P724" s="1"/>
      <c r="Q724" s="1"/>
    </row>
    <row r="725" spans="1:17" x14ac:dyDescent="0.25">
      <c r="A725" s="1"/>
      <c r="B725" s="1"/>
      <c r="C725" s="1"/>
      <c r="D725" s="1"/>
      <c r="E725" s="1"/>
      <c r="F725" s="1"/>
      <c r="G725" s="1"/>
      <c r="H725" s="2"/>
      <c r="I725" s="2"/>
      <c r="J725" s="2"/>
      <c r="K725" s="1"/>
      <c r="L725" s="1"/>
      <c r="M725" s="1"/>
      <c r="N725" s="1"/>
      <c r="O725" s="1"/>
      <c r="P725" s="1"/>
      <c r="Q725" s="1"/>
    </row>
    <row r="726" spans="1:17" x14ac:dyDescent="0.25">
      <c r="A726" s="1"/>
      <c r="B726" s="1"/>
      <c r="C726" s="1"/>
      <c r="D726" s="1"/>
      <c r="E726" s="1"/>
      <c r="F726" s="1"/>
      <c r="G726" s="1"/>
      <c r="H726" s="2"/>
      <c r="I726" s="2"/>
      <c r="J726" s="2"/>
      <c r="K726" s="1"/>
      <c r="L726" s="1"/>
      <c r="M726" s="1"/>
      <c r="N726" s="1"/>
      <c r="O726" s="1"/>
      <c r="P726" s="1"/>
      <c r="Q726" s="1"/>
    </row>
    <row r="727" spans="1:17" x14ac:dyDescent="0.25">
      <c r="A727" s="1"/>
      <c r="B727" s="1"/>
      <c r="C727" s="1"/>
      <c r="D727" s="1"/>
      <c r="E727" s="1"/>
      <c r="F727" s="1"/>
      <c r="G727" s="1"/>
      <c r="H727" s="2"/>
      <c r="I727" s="2"/>
      <c r="J727" s="2"/>
      <c r="K727" s="1"/>
      <c r="L727" s="1"/>
      <c r="M727" s="1"/>
      <c r="N727" s="1"/>
      <c r="O727" s="1"/>
      <c r="P727" s="1"/>
      <c r="Q727" s="1"/>
    </row>
    <row r="728" spans="1:17" x14ac:dyDescent="0.25">
      <c r="A728" s="1"/>
      <c r="B728" s="1"/>
      <c r="C728" s="1"/>
      <c r="D728" s="1"/>
      <c r="E728" s="1"/>
      <c r="F728" s="1"/>
      <c r="G728" s="1"/>
      <c r="H728" s="2"/>
      <c r="I728" s="2"/>
      <c r="J728" s="2"/>
      <c r="K728" s="1"/>
      <c r="L728" s="1"/>
      <c r="M728" s="1"/>
      <c r="N728" s="1"/>
      <c r="O728" s="1"/>
      <c r="P728" s="1"/>
      <c r="Q728" s="1"/>
    </row>
    <row r="729" spans="1:17" x14ac:dyDescent="0.25">
      <c r="A729" s="1"/>
      <c r="B729" s="1"/>
      <c r="C729" s="1"/>
      <c r="D729" s="1"/>
      <c r="E729" s="1"/>
      <c r="F729" s="1"/>
      <c r="G729" s="1"/>
      <c r="H729" s="2"/>
      <c r="I729" s="2"/>
      <c r="J729" s="2"/>
      <c r="K729" s="1"/>
      <c r="L729" s="1"/>
      <c r="M729" s="1"/>
      <c r="N729" s="1"/>
      <c r="O729" s="1"/>
      <c r="P729" s="1"/>
      <c r="Q729" s="1"/>
    </row>
    <row r="730" spans="1:17" x14ac:dyDescent="0.25">
      <c r="A730" s="1"/>
      <c r="B730" s="1"/>
      <c r="C730" s="1"/>
      <c r="D730" s="1"/>
      <c r="E730" s="1"/>
      <c r="F730" s="1"/>
      <c r="G730" s="1"/>
      <c r="H730" s="2"/>
      <c r="I730" s="2"/>
      <c r="J730" s="2"/>
      <c r="K730" s="1"/>
      <c r="L730" s="1"/>
      <c r="M730" s="1"/>
      <c r="N730" s="1"/>
      <c r="O730" s="1"/>
      <c r="P730" s="1"/>
      <c r="Q730" s="1"/>
    </row>
    <row r="731" spans="1:17" x14ac:dyDescent="0.25">
      <c r="A731" s="1"/>
      <c r="B731" s="1"/>
      <c r="C731" s="1"/>
      <c r="D731" s="1"/>
      <c r="E731" s="1"/>
      <c r="F731" s="1"/>
      <c r="G731" s="1"/>
      <c r="H731" s="2"/>
      <c r="I731" s="2"/>
      <c r="J731" s="2"/>
      <c r="K731" s="1"/>
      <c r="L731" s="1"/>
      <c r="M731" s="1"/>
      <c r="N731" s="1"/>
      <c r="O731" s="1"/>
      <c r="P731" s="1"/>
      <c r="Q731" s="1"/>
    </row>
    <row r="732" spans="1:17" x14ac:dyDescent="0.25">
      <c r="A732" s="1"/>
      <c r="B732" s="1"/>
      <c r="C732" s="1"/>
      <c r="D732" s="1"/>
      <c r="E732" s="1"/>
      <c r="F732" s="1"/>
      <c r="G732" s="1"/>
      <c r="H732" s="2"/>
      <c r="I732" s="2"/>
      <c r="J732" s="2"/>
      <c r="K732" s="1"/>
      <c r="L732" s="1"/>
      <c r="M732" s="1"/>
      <c r="N732" s="1"/>
      <c r="O732" s="1"/>
      <c r="P732" s="1"/>
      <c r="Q732" s="1"/>
    </row>
    <row r="733" spans="1:17" x14ac:dyDescent="0.25">
      <c r="A733" s="1"/>
      <c r="B733" s="1"/>
      <c r="C733" s="1"/>
      <c r="D733" s="1"/>
      <c r="E733" s="1"/>
      <c r="F733" s="1"/>
      <c r="G733" s="1"/>
      <c r="H733" s="2"/>
      <c r="I733" s="2"/>
      <c r="J733" s="2"/>
      <c r="K733" s="1"/>
      <c r="L733" s="1"/>
      <c r="M733" s="1"/>
      <c r="N733" s="1"/>
      <c r="O733" s="1"/>
      <c r="P733" s="1"/>
      <c r="Q733" s="1"/>
    </row>
    <row r="734" spans="1:17" x14ac:dyDescent="0.25">
      <c r="A734" s="1"/>
      <c r="B734" s="1"/>
      <c r="C734" s="1"/>
      <c r="D734" s="1"/>
      <c r="E734" s="1"/>
      <c r="F734" s="1"/>
      <c r="G734" s="1"/>
      <c r="H734" s="2"/>
      <c r="I734" s="2"/>
      <c r="J734" s="2"/>
      <c r="K734" s="1"/>
      <c r="L734" s="1"/>
      <c r="M734" s="1"/>
      <c r="N734" s="1"/>
      <c r="O734" s="1"/>
      <c r="P734" s="1"/>
      <c r="Q734" s="1"/>
    </row>
    <row r="735" spans="1:17" x14ac:dyDescent="0.25">
      <c r="A735" s="1"/>
      <c r="B735" s="1"/>
      <c r="C735" s="1"/>
      <c r="D735" s="1"/>
      <c r="E735" s="1"/>
      <c r="F735" s="1"/>
      <c r="G735" s="1"/>
      <c r="H735" s="2"/>
      <c r="I735" s="2"/>
      <c r="J735" s="2"/>
      <c r="K735" s="1"/>
      <c r="L735" s="1"/>
      <c r="M735" s="1"/>
      <c r="N735" s="1"/>
      <c r="O735" s="1"/>
      <c r="P735" s="1"/>
      <c r="Q735" s="1"/>
    </row>
    <row r="736" spans="1:17" x14ac:dyDescent="0.25">
      <c r="A736" s="1"/>
      <c r="B736" s="1"/>
      <c r="C736" s="1"/>
      <c r="D736" s="1"/>
      <c r="E736" s="1"/>
      <c r="F736" s="1"/>
      <c r="G736" s="1"/>
      <c r="H736" s="2"/>
      <c r="I736" s="2"/>
      <c r="J736" s="2"/>
      <c r="K736" s="1"/>
      <c r="L736" s="1"/>
      <c r="M736" s="1"/>
      <c r="N736" s="1"/>
      <c r="O736" s="1"/>
      <c r="P736" s="1"/>
      <c r="Q736" s="1"/>
    </row>
    <row r="737" spans="1:17" x14ac:dyDescent="0.25">
      <c r="A737" s="1"/>
      <c r="B737" s="1"/>
      <c r="C737" s="1"/>
      <c r="D737" s="1"/>
      <c r="E737" s="1"/>
      <c r="F737" s="1"/>
      <c r="G737" s="1"/>
      <c r="H737" s="2"/>
      <c r="I737" s="2"/>
      <c r="J737" s="2"/>
      <c r="K737" s="1"/>
      <c r="L737" s="1"/>
      <c r="M737" s="1"/>
      <c r="N737" s="1"/>
      <c r="O737" s="1"/>
      <c r="P737" s="1"/>
      <c r="Q737" s="1"/>
    </row>
    <row r="738" spans="1:17" x14ac:dyDescent="0.25">
      <c r="A738" s="1"/>
      <c r="B738" s="1"/>
      <c r="C738" s="1"/>
      <c r="D738" s="1"/>
      <c r="E738" s="1"/>
      <c r="F738" s="1"/>
      <c r="G738" s="1"/>
      <c r="H738" s="2"/>
      <c r="I738" s="2"/>
      <c r="J738" s="2"/>
      <c r="K738" s="1"/>
      <c r="L738" s="1"/>
      <c r="M738" s="1"/>
      <c r="N738" s="1"/>
      <c r="O738" s="1"/>
      <c r="P738" s="1"/>
      <c r="Q738" s="1"/>
    </row>
    <row r="739" spans="1:17" x14ac:dyDescent="0.25">
      <c r="A739" s="1"/>
      <c r="B739" s="1"/>
      <c r="C739" s="1"/>
      <c r="D739" s="1"/>
      <c r="E739" s="1"/>
      <c r="F739" s="1"/>
      <c r="G739" s="1"/>
      <c r="H739" s="2"/>
      <c r="I739" s="2"/>
      <c r="J739" s="2"/>
      <c r="K739" s="1"/>
      <c r="L739" s="1"/>
      <c r="M739" s="1"/>
      <c r="N739" s="1"/>
      <c r="O739" s="1"/>
      <c r="P739" s="1"/>
      <c r="Q739" s="1"/>
    </row>
    <row r="740" spans="1:17" x14ac:dyDescent="0.25">
      <c r="A740" s="1"/>
      <c r="B740" s="1"/>
      <c r="C740" s="1"/>
      <c r="D740" s="1"/>
      <c r="E740" s="1"/>
      <c r="F740" s="1"/>
      <c r="G740" s="1"/>
      <c r="H740" s="2"/>
      <c r="I740" s="2"/>
      <c r="J740" s="2"/>
      <c r="K740" s="1"/>
      <c r="L740" s="1"/>
      <c r="M740" s="1"/>
      <c r="N740" s="1"/>
      <c r="O740" s="1"/>
      <c r="P740" s="1"/>
      <c r="Q740" s="1"/>
    </row>
    <row r="741" spans="1:17" x14ac:dyDescent="0.25">
      <c r="A741" s="1"/>
      <c r="B741" s="1"/>
      <c r="C741" s="1"/>
      <c r="D741" s="1"/>
      <c r="E741" s="1"/>
      <c r="F741" s="1"/>
      <c r="G741" s="1"/>
      <c r="H741" s="2"/>
      <c r="I741" s="2"/>
      <c r="J741" s="2"/>
      <c r="K741" s="1"/>
      <c r="L741" s="1"/>
      <c r="M741" s="1"/>
      <c r="N741" s="1"/>
      <c r="O741" s="1"/>
      <c r="P741" s="1"/>
      <c r="Q741" s="1"/>
    </row>
    <row r="742" spans="1:17" x14ac:dyDescent="0.25">
      <c r="A742" s="1"/>
      <c r="B742" s="1"/>
      <c r="C742" s="1"/>
      <c r="D742" s="1"/>
      <c r="E742" s="1"/>
      <c r="F742" s="1"/>
      <c r="G742" s="1"/>
      <c r="H742" s="2"/>
      <c r="I742" s="2"/>
      <c r="J742" s="2"/>
      <c r="K742" s="1"/>
      <c r="L742" s="1"/>
      <c r="M742" s="1"/>
      <c r="N742" s="1"/>
      <c r="O742" s="1"/>
      <c r="P742" s="1"/>
      <c r="Q742" s="1"/>
    </row>
    <row r="743" spans="1:17" x14ac:dyDescent="0.25">
      <c r="A743" s="1"/>
      <c r="B743" s="1"/>
      <c r="C743" s="1"/>
      <c r="D743" s="1"/>
      <c r="E743" s="1"/>
      <c r="F743" s="1"/>
      <c r="G743" s="1"/>
      <c r="H743" s="2"/>
      <c r="I743" s="2"/>
      <c r="J743" s="2"/>
      <c r="K743" s="1"/>
      <c r="L743" s="1"/>
      <c r="M743" s="1"/>
      <c r="N743" s="1"/>
      <c r="O743" s="1"/>
      <c r="P743" s="1"/>
      <c r="Q743" s="1"/>
    </row>
    <row r="744" spans="1:17" x14ac:dyDescent="0.25">
      <c r="A744" s="1"/>
      <c r="B744" s="1"/>
      <c r="C744" s="1"/>
      <c r="D744" s="1"/>
      <c r="E744" s="1"/>
      <c r="F744" s="1"/>
      <c r="G744" s="1"/>
      <c r="H744" s="2"/>
      <c r="I744" s="2"/>
      <c r="J744" s="2"/>
      <c r="K744" s="1"/>
      <c r="L744" s="1"/>
      <c r="M744" s="1"/>
      <c r="N744" s="1"/>
      <c r="O744" s="1"/>
      <c r="P744" s="1"/>
      <c r="Q744" s="1"/>
    </row>
    <row r="745" spans="1:17" x14ac:dyDescent="0.25">
      <c r="A745" s="1"/>
      <c r="B745" s="1"/>
      <c r="C745" s="1"/>
      <c r="D745" s="1"/>
      <c r="E745" s="1"/>
      <c r="F745" s="1"/>
      <c r="G745" s="1"/>
      <c r="H745" s="2"/>
      <c r="I745" s="2"/>
      <c r="J745" s="2"/>
      <c r="K745" s="1"/>
      <c r="L745" s="1"/>
      <c r="M745" s="1"/>
      <c r="N745" s="1"/>
      <c r="O745" s="1"/>
      <c r="P745" s="1"/>
      <c r="Q745" s="1"/>
    </row>
    <row r="746" spans="1:17" x14ac:dyDescent="0.25">
      <c r="A746" s="1"/>
      <c r="B746" s="1"/>
      <c r="C746" s="1"/>
      <c r="D746" s="1"/>
      <c r="E746" s="1"/>
      <c r="F746" s="1"/>
      <c r="G746" s="1"/>
      <c r="H746" s="2"/>
      <c r="I746" s="2"/>
      <c r="J746" s="2"/>
      <c r="K746" s="1"/>
      <c r="L746" s="1"/>
      <c r="M746" s="1"/>
      <c r="N746" s="1"/>
      <c r="O746" s="1"/>
      <c r="P746" s="1"/>
      <c r="Q746" s="1"/>
    </row>
    <row r="747" spans="1:17" x14ac:dyDescent="0.25">
      <c r="A747" s="1"/>
      <c r="B747" s="1"/>
      <c r="C747" s="1"/>
      <c r="D747" s="1"/>
      <c r="E747" s="1"/>
      <c r="F747" s="1"/>
      <c r="G747" s="1"/>
      <c r="H747" s="2"/>
      <c r="I747" s="2"/>
      <c r="J747" s="2"/>
      <c r="K747" s="1"/>
      <c r="L747" s="1"/>
      <c r="M747" s="1"/>
      <c r="N747" s="1"/>
      <c r="O747" s="1"/>
      <c r="P747" s="1"/>
      <c r="Q747" s="1"/>
    </row>
    <row r="748" spans="1:17" x14ac:dyDescent="0.25">
      <c r="A748" s="1"/>
      <c r="B748" s="1"/>
      <c r="C748" s="1"/>
      <c r="D748" s="1"/>
      <c r="E748" s="1"/>
      <c r="F748" s="1"/>
      <c r="G748" s="1"/>
      <c r="H748" s="2"/>
      <c r="I748" s="2"/>
      <c r="J748" s="2"/>
      <c r="K748" s="1"/>
      <c r="L748" s="1"/>
      <c r="M748" s="1"/>
      <c r="N748" s="1"/>
      <c r="O748" s="1"/>
      <c r="P748" s="1"/>
      <c r="Q748" s="1"/>
    </row>
    <row r="749" spans="1:17" x14ac:dyDescent="0.25">
      <c r="A749" s="1"/>
      <c r="B749" s="1"/>
      <c r="C749" s="1"/>
      <c r="D749" s="1"/>
      <c r="E749" s="1"/>
      <c r="F749" s="1"/>
      <c r="G749" s="1"/>
      <c r="H749" s="2"/>
      <c r="I749" s="2"/>
      <c r="J749" s="2"/>
      <c r="K749" s="1"/>
      <c r="L749" s="1"/>
      <c r="M749" s="1"/>
      <c r="N749" s="1"/>
      <c r="O749" s="1"/>
      <c r="P749" s="1"/>
      <c r="Q749" s="1"/>
    </row>
    <row r="750" spans="1:17" x14ac:dyDescent="0.25">
      <c r="A750" s="1"/>
      <c r="B750" s="1"/>
      <c r="C750" s="1"/>
      <c r="D750" s="1"/>
      <c r="E750" s="1"/>
      <c r="F750" s="1"/>
      <c r="G750" s="1"/>
      <c r="H750" s="2"/>
      <c r="I750" s="2"/>
      <c r="J750" s="2"/>
      <c r="K750" s="1"/>
      <c r="L750" s="1"/>
      <c r="M750" s="1"/>
      <c r="N750" s="1"/>
      <c r="O750" s="1"/>
      <c r="P750" s="1"/>
      <c r="Q750" s="1"/>
    </row>
    <row r="751" spans="1:17" x14ac:dyDescent="0.25">
      <c r="A751" s="1"/>
      <c r="B751" s="1"/>
      <c r="C751" s="1"/>
      <c r="D751" s="1"/>
      <c r="E751" s="1"/>
      <c r="F751" s="1"/>
      <c r="G751" s="1"/>
      <c r="H751" s="2"/>
      <c r="I751" s="2"/>
      <c r="J751" s="2"/>
      <c r="K751" s="1"/>
      <c r="L751" s="1"/>
      <c r="M751" s="1"/>
      <c r="N751" s="1"/>
      <c r="O751" s="1"/>
      <c r="P751" s="1"/>
      <c r="Q751" s="1"/>
    </row>
    <row r="752" spans="1:17" x14ac:dyDescent="0.25">
      <c r="A752" s="1"/>
      <c r="B752" s="1"/>
      <c r="C752" s="1"/>
      <c r="D752" s="1"/>
      <c r="E752" s="1"/>
      <c r="F752" s="1"/>
      <c r="G752" s="1"/>
      <c r="H752" s="2"/>
      <c r="I752" s="2"/>
      <c r="J752" s="2"/>
      <c r="K752" s="1"/>
      <c r="L752" s="1"/>
      <c r="M752" s="1"/>
      <c r="N752" s="1"/>
      <c r="O752" s="1"/>
      <c r="P752" s="1"/>
      <c r="Q752" s="1"/>
    </row>
    <row r="753" spans="1:17" x14ac:dyDescent="0.25">
      <c r="A753" s="1"/>
      <c r="B753" s="1"/>
      <c r="C753" s="1"/>
      <c r="D753" s="1"/>
      <c r="E753" s="1"/>
      <c r="F753" s="1"/>
      <c r="G753" s="1"/>
      <c r="H753" s="2"/>
      <c r="I753" s="2"/>
      <c r="J753" s="2"/>
      <c r="K753" s="1"/>
      <c r="L753" s="1"/>
      <c r="M753" s="1"/>
      <c r="N753" s="1"/>
      <c r="O753" s="1"/>
      <c r="P753" s="1"/>
      <c r="Q753" s="1"/>
    </row>
    <row r="754" spans="1:17" x14ac:dyDescent="0.25">
      <c r="A754" s="1"/>
      <c r="B754" s="1"/>
      <c r="C754" s="1"/>
      <c r="D754" s="1"/>
      <c r="E754" s="1"/>
      <c r="F754" s="1"/>
      <c r="G754" s="1"/>
      <c r="H754" s="2"/>
      <c r="I754" s="2"/>
      <c r="J754" s="2"/>
      <c r="K754" s="1"/>
      <c r="L754" s="1"/>
      <c r="M754" s="1"/>
      <c r="N754" s="1"/>
      <c r="O754" s="1"/>
      <c r="P754" s="1"/>
      <c r="Q754" s="1"/>
    </row>
    <row r="755" spans="1:17" x14ac:dyDescent="0.25">
      <c r="A755" s="1"/>
      <c r="B755" s="1"/>
      <c r="C755" s="1"/>
      <c r="D755" s="1"/>
      <c r="E755" s="1"/>
      <c r="F755" s="1"/>
      <c r="G755" s="1"/>
      <c r="H755" s="2"/>
      <c r="I755" s="2"/>
      <c r="J755" s="2"/>
      <c r="K755" s="1"/>
      <c r="L755" s="1"/>
      <c r="M755" s="1"/>
      <c r="N755" s="1"/>
      <c r="O755" s="1"/>
      <c r="P755" s="1"/>
      <c r="Q755" s="1"/>
    </row>
    <row r="756" spans="1:17" x14ac:dyDescent="0.25">
      <c r="A756" s="1"/>
      <c r="B756" s="1"/>
      <c r="C756" s="1"/>
      <c r="D756" s="1"/>
      <c r="E756" s="1"/>
      <c r="F756" s="1"/>
      <c r="G756" s="1"/>
      <c r="H756" s="2"/>
      <c r="I756" s="2"/>
      <c r="J756" s="2"/>
      <c r="K756" s="1"/>
      <c r="L756" s="1"/>
      <c r="M756" s="1"/>
      <c r="N756" s="1"/>
      <c r="O756" s="1"/>
      <c r="P756" s="1"/>
      <c r="Q756" s="1"/>
    </row>
    <row r="757" spans="1:17" x14ac:dyDescent="0.25">
      <c r="A757" s="1"/>
      <c r="B757" s="1"/>
      <c r="C757" s="1"/>
      <c r="D757" s="1"/>
      <c r="E757" s="1"/>
      <c r="F757" s="1"/>
      <c r="G757" s="1"/>
      <c r="H757" s="2"/>
      <c r="I757" s="2"/>
      <c r="J757" s="2"/>
      <c r="K757" s="1"/>
      <c r="L757" s="1"/>
      <c r="M757" s="1"/>
      <c r="N757" s="1"/>
      <c r="O757" s="1"/>
      <c r="P757" s="1"/>
      <c r="Q757" s="1"/>
    </row>
    <row r="758" spans="1:17" x14ac:dyDescent="0.25">
      <c r="A758" s="1"/>
      <c r="B758" s="1"/>
      <c r="C758" s="1"/>
      <c r="D758" s="1"/>
      <c r="E758" s="1"/>
      <c r="F758" s="1"/>
      <c r="G758" s="1"/>
      <c r="H758" s="2"/>
      <c r="I758" s="2"/>
      <c r="J758" s="2"/>
      <c r="K758" s="1"/>
      <c r="L758" s="1"/>
      <c r="M758" s="1"/>
      <c r="N758" s="1"/>
      <c r="O758" s="1"/>
      <c r="P758" s="1"/>
      <c r="Q758" s="1"/>
    </row>
    <row r="759" spans="1:17" x14ac:dyDescent="0.25">
      <c r="A759" s="1"/>
      <c r="B759" s="1"/>
      <c r="C759" s="1"/>
      <c r="D759" s="1"/>
      <c r="E759" s="1"/>
      <c r="F759" s="1"/>
      <c r="G759" s="1"/>
      <c r="H759" s="2"/>
      <c r="I759" s="2"/>
      <c r="J759" s="2"/>
      <c r="K759" s="1"/>
      <c r="L759" s="1"/>
      <c r="M759" s="1"/>
      <c r="N759" s="1"/>
      <c r="O759" s="1"/>
      <c r="P759" s="1"/>
      <c r="Q759" s="1"/>
    </row>
    <row r="760" spans="1:17" x14ac:dyDescent="0.25">
      <c r="A760" s="1"/>
      <c r="B760" s="1"/>
      <c r="C760" s="1"/>
      <c r="D760" s="1"/>
      <c r="E760" s="1"/>
      <c r="F760" s="1"/>
      <c r="G760" s="1"/>
      <c r="H760" s="2"/>
      <c r="I760" s="2"/>
      <c r="J760" s="2"/>
      <c r="K760" s="1"/>
      <c r="L760" s="1"/>
      <c r="M760" s="1"/>
      <c r="N760" s="1"/>
      <c r="O760" s="1"/>
      <c r="P760" s="1"/>
      <c r="Q760" s="1"/>
    </row>
    <row r="761" spans="1:17" x14ac:dyDescent="0.25">
      <c r="A761" s="1"/>
      <c r="B761" s="1"/>
      <c r="C761" s="1"/>
      <c r="D761" s="1"/>
      <c r="E761" s="1"/>
      <c r="F761" s="1"/>
      <c r="G761" s="1"/>
      <c r="H761" s="2"/>
      <c r="I761" s="2"/>
      <c r="J761" s="2"/>
      <c r="K761" s="1"/>
      <c r="L761" s="1"/>
      <c r="M761" s="1"/>
      <c r="N761" s="1"/>
      <c r="O761" s="1"/>
      <c r="P761" s="1"/>
      <c r="Q761" s="1"/>
    </row>
    <row r="762" spans="1:17" x14ac:dyDescent="0.25">
      <c r="A762" s="1"/>
      <c r="B762" s="1"/>
      <c r="C762" s="1"/>
      <c r="D762" s="1"/>
      <c r="E762" s="1"/>
      <c r="F762" s="1"/>
      <c r="G762" s="1"/>
      <c r="H762" s="2"/>
      <c r="I762" s="2"/>
      <c r="J762" s="2"/>
      <c r="K762" s="1"/>
      <c r="L762" s="1"/>
      <c r="M762" s="1"/>
      <c r="N762" s="1"/>
      <c r="O762" s="1"/>
      <c r="P762" s="1"/>
      <c r="Q762" s="1"/>
    </row>
    <row r="763" spans="1:17" x14ac:dyDescent="0.25">
      <c r="A763" s="1"/>
      <c r="B763" s="1"/>
      <c r="C763" s="1"/>
      <c r="D763" s="1"/>
      <c r="E763" s="1"/>
      <c r="F763" s="1"/>
      <c r="G763" s="1"/>
      <c r="H763" s="2"/>
      <c r="I763" s="2"/>
      <c r="J763" s="2"/>
      <c r="K763" s="1"/>
      <c r="L763" s="1"/>
      <c r="M763" s="1"/>
      <c r="N763" s="1"/>
      <c r="O763" s="1"/>
      <c r="P763" s="1"/>
      <c r="Q763" s="1"/>
    </row>
    <row r="764" spans="1:17" x14ac:dyDescent="0.25">
      <c r="A764" s="1"/>
      <c r="B764" s="1"/>
      <c r="C764" s="1"/>
      <c r="D764" s="1"/>
      <c r="E764" s="1"/>
      <c r="F764" s="1"/>
      <c r="G764" s="1"/>
      <c r="H764" s="2"/>
      <c r="I764" s="2"/>
      <c r="J764" s="2"/>
      <c r="K764" s="1"/>
      <c r="L764" s="1"/>
      <c r="M764" s="1"/>
      <c r="N764" s="1"/>
      <c r="O764" s="1"/>
      <c r="P764" s="1"/>
      <c r="Q764" s="1"/>
    </row>
    <row r="765" spans="1:17" x14ac:dyDescent="0.25">
      <c r="A765" s="1"/>
      <c r="B765" s="1"/>
      <c r="C765" s="1"/>
      <c r="D765" s="1"/>
      <c r="E765" s="1"/>
      <c r="F765" s="1"/>
      <c r="G765" s="1"/>
      <c r="H765" s="2"/>
      <c r="I765" s="2"/>
      <c r="J765" s="2"/>
      <c r="K765" s="1"/>
      <c r="L765" s="1"/>
      <c r="M765" s="1"/>
      <c r="N765" s="1"/>
      <c r="O765" s="1"/>
      <c r="P765" s="1"/>
      <c r="Q765" s="1"/>
    </row>
    <row r="766" spans="1:17" x14ac:dyDescent="0.25">
      <c r="A766" s="1"/>
      <c r="B766" s="1"/>
      <c r="C766" s="1"/>
      <c r="D766" s="1"/>
      <c r="E766" s="1"/>
      <c r="F766" s="1"/>
      <c r="G766" s="1"/>
      <c r="H766" s="2"/>
      <c r="I766" s="2"/>
      <c r="J766" s="2"/>
      <c r="K766" s="1"/>
      <c r="L766" s="1"/>
      <c r="M766" s="1"/>
      <c r="N766" s="1"/>
      <c r="O766" s="1"/>
      <c r="P766" s="1"/>
      <c r="Q766" s="1"/>
    </row>
    <row r="767" spans="1:17" x14ac:dyDescent="0.25">
      <c r="A767" s="1"/>
      <c r="B767" s="1"/>
      <c r="C767" s="1"/>
      <c r="D767" s="1"/>
      <c r="E767" s="1"/>
      <c r="F767" s="1"/>
      <c r="G767" s="1"/>
      <c r="H767" s="2"/>
      <c r="I767" s="2"/>
      <c r="J767" s="2"/>
      <c r="K767" s="1"/>
      <c r="L767" s="1"/>
      <c r="M767" s="1"/>
      <c r="N767" s="1"/>
      <c r="O767" s="1"/>
      <c r="P767" s="1"/>
      <c r="Q767" s="1"/>
    </row>
    <row r="768" spans="1:17" x14ac:dyDescent="0.25">
      <c r="A768" s="1"/>
      <c r="B768" s="1"/>
      <c r="C768" s="1"/>
      <c r="D768" s="1"/>
      <c r="E768" s="1"/>
      <c r="F768" s="1"/>
      <c r="G768" s="1"/>
      <c r="H768" s="2"/>
      <c r="I768" s="2"/>
      <c r="J768" s="2"/>
      <c r="K768" s="1"/>
      <c r="L768" s="1"/>
      <c r="M768" s="1"/>
      <c r="N768" s="1"/>
      <c r="O768" s="1"/>
      <c r="P768" s="1"/>
      <c r="Q768" s="1"/>
    </row>
    <row r="769" spans="1:17" x14ac:dyDescent="0.25">
      <c r="A769" s="1"/>
      <c r="B769" s="1"/>
      <c r="C769" s="1"/>
      <c r="D769" s="1"/>
      <c r="E769" s="1"/>
      <c r="F769" s="1"/>
      <c r="G769" s="1"/>
      <c r="H769" s="2"/>
      <c r="I769" s="2"/>
      <c r="J769" s="2"/>
      <c r="K769" s="1"/>
      <c r="L769" s="1"/>
      <c r="M769" s="1"/>
      <c r="N769" s="1"/>
      <c r="O769" s="1"/>
      <c r="P769" s="1"/>
      <c r="Q769" s="1"/>
    </row>
    <row r="770" spans="1:17" x14ac:dyDescent="0.25">
      <c r="A770" s="1"/>
      <c r="B770" s="1"/>
      <c r="C770" s="1"/>
      <c r="D770" s="1"/>
      <c r="E770" s="1"/>
      <c r="F770" s="1"/>
      <c r="G770" s="1"/>
      <c r="H770" s="2"/>
      <c r="I770" s="2"/>
      <c r="J770" s="2"/>
      <c r="K770" s="1"/>
      <c r="L770" s="1"/>
      <c r="M770" s="1"/>
      <c r="N770" s="1"/>
      <c r="O770" s="1"/>
      <c r="P770" s="1"/>
      <c r="Q770" s="1"/>
    </row>
    <row r="771" spans="1:17" x14ac:dyDescent="0.25">
      <c r="A771" s="1"/>
      <c r="B771" s="1"/>
      <c r="C771" s="1"/>
      <c r="D771" s="1"/>
      <c r="E771" s="1"/>
      <c r="F771" s="1"/>
      <c r="G771" s="1"/>
      <c r="H771" s="2"/>
      <c r="I771" s="2"/>
      <c r="J771" s="2"/>
      <c r="K771" s="1"/>
      <c r="L771" s="1"/>
      <c r="M771" s="1"/>
      <c r="N771" s="1"/>
      <c r="O771" s="1"/>
      <c r="P771" s="1"/>
      <c r="Q771" s="1"/>
    </row>
    <row r="772" spans="1:17" x14ac:dyDescent="0.25">
      <c r="A772" s="1"/>
      <c r="B772" s="1"/>
      <c r="C772" s="1"/>
      <c r="D772" s="1"/>
      <c r="E772" s="1"/>
      <c r="F772" s="1"/>
      <c r="G772" s="1"/>
      <c r="H772" s="2"/>
      <c r="I772" s="2"/>
      <c r="J772" s="2"/>
      <c r="K772" s="1"/>
      <c r="L772" s="1"/>
      <c r="M772" s="1"/>
      <c r="N772" s="1"/>
      <c r="O772" s="1"/>
      <c r="P772" s="1"/>
      <c r="Q772" s="1"/>
    </row>
    <row r="773" spans="1:17" x14ac:dyDescent="0.25">
      <c r="A773" s="1"/>
      <c r="B773" s="1"/>
      <c r="C773" s="1"/>
      <c r="D773" s="1"/>
      <c r="E773" s="1"/>
      <c r="F773" s="1"/>
      <c r="G773" s="1"/>
      <c r="H773" s="2"/>
      <c r="I773" s="2"/>
      <c r="J773" s="2"/>
      <c r="K773" s="1"/>
      <c r="L773" s="1"/>
      <c r="M773" s="1"/>
      <c r="N773" s="1"/>
      <c r="O773" s="1"/>
      <c r="P773" s="1"/>
      <c r="Q773" s="1"/>
    </row>
    <row r="774" spans="1:17" x14ac:dyDescent="0.25">
      <c r="A774" s="1"/>
      <c r="B774" s="1"/>
      <c r="C774" s="1"/>
      <c r="D774" s="1"/>
      <c r="E774" s="1"/>
      <c r="F774" s="1"/>
      <c r="G774" s="1"/>
      <c r="H774" s="2"/>
      <c r="I774" s="2"/>
      <c r="J774" s="2"/>
      <c r="K774" s="1"/>
      <c r="L774" s="1"/>
      <c r="M774" s="1"/>
      <c r="N774" s="1"/>
      <c r="O774" s="1"/>
      <c r="P774" s="1"/>
      <c r="Q774" s="1"/>
    </row>
    <row r="775" spans="1:17" x14ac:dyDescent="0.25">
      <c r="A775" s="1"/>
      <c r="B775" s="1"/>
      <c r="C775" s="1"/>
      <c r="D775" s="1"/>
      <c r="E775" s="1"/>
      <c r="F775" s="1"/>
      <c r="G775" s="1"/>
      <c r="H775" s="2"/>
      <c r="I775" s="2"/>
      <c r="J775" s="2"/>
      <c r="K775" s="1"/>
      <c r="L775" s="1"/>
      <c r="M775" s="1"/>
      <c r="N775" s="1"/>
      <c r="O775" s="1"/>
      <c r="P775" s="1"/>
      <c r="Q775" s="1"/>
    </row>
    <row r="776" spans="1:17" x14ac:dyDescent="0.25">
      <c r="A776" s="1"/>
      <c r="B776" s="1"/>
      <c r="C776" s="1"/>
      <c r="D776" s="1"/>
      <c r="E776" s="1"/>
      <c r="F776" s="1"/>
      <c r="G776" s="1"/>
      <c r="H776" s="2"/>
      <c r="I776" s="2"/>
      <c r="J776" s="2"/>
      <c r="K776" s="1"/>
      <c r="L776" s="1"/>
      <c r="M776" s="1"/>
      <c r="N776" s="1"/>
      <c r="O776" s="1"/>
      <c r="P776" s="1"/>
      <c r="Q776" s="1"/>
    </row>
    <row r="777" spans="1:17" x14ac:dyDescent="0.25">
      <c r="A777" s="1"/>
      <c r="B777" s="1"/>
      <c r="C777" s="1"/>
      <c r="D777" s="1"/>
      <c r="E777" s="1"/>
      <c r="F777" s="1"/>
      <c r="G777" s="1"/>
      <c r="H777" s="2"/>
      <c r="I777" s="2"/>
      <c r="J777" s="2"/>
      <c r="K777" s="1"/>
      <c r="L777" s="1"/>
      <c r="M777" s="1"/>
      <c r="N777" s="1"/>
      <c r="O777" s="1"/>
      <c r="P777" s="1"/>
      <c r="Q777" s="1"/>
    </row>
    <row r="778" spans="1:17" x14ac:dyDescent="0.25">
      <c r="A778" s="1"/>
      <c r="B778" s="1"/>
      <c r="C778" s="1"/>
      <c r="D778" s="1"/>
      <c r="E778" s="1"/>
      <c r="F778" s="1"/>
      <c r="G778" s="1"/>
      <c r="H778" s="2"/>
      <c r="I778" s="2"/>
      <c r="J778" s="2"/>
      <c r="K778" s="1"/>
      <c r="L778" s="1"/>
      <c r="M778" s="1"/>
      <c r="N778" s="1"/>
      <c r="O778" s="1"/>
      <c r="P778" s="1"/>
      <c r="Q778" s="1"/>
    </row>
    <row r="779" spans="1:17" x14ac:dyDescent="0.25">
      <c r="A779" s="1"/>
      <c r="B779" s="1"/>
      <c r="C779" s="1"/>
      <c r="D779" s="1"/>
      <c r="E779" s="1"/>
      <c r="F779" s="1"/>
      <c r="G779" s="1"/>
      <c r="H779" s="2"/>
      <c r="I779" s="2"/>
      <c r="J779" s="2"/>
      <c r="K779" s="1"/>
      <c r="L779" s="1"/>
      <c r="M779" s="1"/>
      <c r="N779" s="1"/>
      <c r="O779" s="1"/>
      <c r="P779" s="1"/>
      <c r="Q779" s="1"/>
    </row>
    <row r="780" spans="1:17" x14ac:dyDescent="0.25">
      <c r="A780" s="1"/>
      <c r="B780" s="1"/>
      <c r="C780" s="1"/>
      <c r="D780" s="1"/>
      <c r="E780" s="1"/>
      <c r="F780" s="1"/>
      <c r="G780" s="1"/>
      <c r="H780" s="2"/>
      <c r="I780" s="2"/>
      <c r="J780" s="2"/>
      <c r="K780" s="1"/>
      <c r="L780" s="1"/>
      <c r="M780" s="1"/>
      <c r="N780" s="1"/>
      <c r="O780" s="1"/>
      <c r="P780" s="1"/>
      <c r="Q780" s="1"/>
    </row>
    <row r="781" spans="1:17" x14ac:dyDescent="0.25">
      <c r="A781" s="1"/>
      <c r="B781" s="1"/>
      <c r="C781" s="1"/>
      <c r="D781" s="1"/>
      <c r="E781" s="1"/>
      <c r="F781" s="1"/>
      <c r="G781" s="1"/>
      <c r="H781" s="2"/>
      <c r="I781" s="2"/>
      <c r="J781" s="2"/>
      <c r="K781" s="1"/>
      <c r="L781" s="1"/>
      <c r="M781" s="1"/>
      <c r="N781" s="1"/>
      <c r="O781" s="1"/>
      <c r="P781" s="1"/>
      <c r="Q781" s="1"/>
    </row>
    <row r="782" spans="1:17" x14ac:dyDescent="0.25">
      <c r="A782" s="1"/>
      <c r="B782" s="1"/>
      <c r="C782" s="1"/>
      <c r="D782" s="1"/>
      <c r="E782" s="1"/>
      <c r="F782" s="1"/>
      <c r="G782" s="1"/>
      <c r="H782" s="2"/>
      <c r="I782" s="2"/>
      <c r="J782" s="2"/>
      <c r="K782" s="1"/>
      <c r="L782" s="1"/>
      <c r="M782" s="1"/>
      <c r="N782" s="1"/>
      <c r="O782" s="1"/>
      <c r="P782" s="1"/>
      <c r="Q782" s="1"/>
    </row>
    <row r="783" spans="1:17" x14ac:dyDescent="0.25">
      <c r="A783" s="1"/>
      <c r="B783" s="1"/>
      <c r="C783" s="1"/>
      <c r="D783" s="1"/>
      <c r="E783" s="1"/>
      <c r="F783" s="1"/>
      <c r="G783" s="1"/>
      <c r="H783" s="2"/>
      <c r="I783" s="2"/>
      <c r="J783" s="2"/>
      <c r="K783" s="1"/>
      <c r="L783" s="1"/>
      <c r="M783" s="1"/>
      <c r="N783" s="1"/>
      <c r="O783" s="1"/>
      <c r="P783" s="1"/>
      <c r="Q783" s="1"/>
    </row>
    <row r="784" spans="1:17" x14ac:dyDescent="0.25">
      <c r="A784" s="1"/>
      <c r="B784" s="1"/>
      <c r="C784" s="1"/>
      <c r="D784" s="1"/>
      <c r="E784" s="1"/>
      <c r="F784" s="1"/>
      <c r="G784" s="1"/>
      <c r="H784" s="2"/>
      <c r="I784" s="2"/>
      <c r="J784" s="2"/>
      <c r="K784" s="1"/>
      <c r="L784" s="1"/>
      <c r="M784" s="1"/>
      <c r="N784" s="1"/>
      <c r="O784" s="1"/>
      <c r="P784" s="1"/>
      <c r="Q784" s="1"/>
    </row>
    <row r="785" spans="1:17" x14ac:dyDescent="0.25">
      <c r="A785" s="1"/>
      <c r="B785" s="1"/>
      <c r="C785" s="1"/>
      <c r="D785" s="1"/>
      <c r="E785" s="1"/>
      <c r="F785" s="1"/>
      <c r="G785" s="1"/>
      <c r="H785" s="2"/>
      <c r="I785" s="2"/>
      <c r="J785" s="2"/>
      <c r="K785" s="1"/>
      <c r="L785" s="1"/>
      <c r="M785" s="1"/>
      <c r="N785" s="1"/>
      <c r="O785" s="1"/>
      <c r="P785" s="1"/>
      <c r="Q785" s="1"/>
    </row>
    <row r="786" spans="1:17" x14ac:dyDescent="0.25">
      <c r="A786" s="1"/>
      <c r="B786" s="1"/>
      <c r="C786" s="1"/>
      <c r="D786" s="1"/>
      <c r="E786" s="1"/>
      <c r="F786" s="1"/>
      <c r="G786" s="1"/>
      <c r="H786" s="2"/>
      <c r="I786" s="2"/>
      <c r="J786" s="2"/>
      <c r="K786" s="1"/>
      <c r="L786" s="1"/>
      <c r="M786" s="1"/>
      <c r="N786" s="1"/>
      <c r="O786" s="1"/>
      <c r="P786" s="1"/>
      <c r="Q786" s="1"/>
    </row>
    <row r="787" spans="1:17" x14ac:dyDescent="0.25">
      <c r="A787" s="1"/>
      <c r="B787" s="1"/>
      <c r="C787" s="1"/>
      <c r="D787" s="1"/>
      <c r="E787" s="1"/>
      <c r="F787" s="1"/>
      <c r="G787" s="1"/>
      <c r="H787" s="2"/>
      <c r="I787" s="2"/>
      <c r="J787" s="2"/>
      <c r="K787" s="1"/>
      <c r="L787" s="1"/>
      <c r="M787" s="1"/>
      <c r="N787" s="1"/>
      <c r="O787" s="1"/>
      <c r="P787" s="1"/>
      <c r="Q787" s="1"/>
    </row>
    <row r="788" spans="1:17" x14ac:dyDescent="0.25">
      <c r="A788" s="1"/>
      <c r="B788" s="1"/>
      <c r="C788" s="1"/>
      <c r="D788" s="1"/>
      <c r="E788" s="1"/>
      <c r="F788" s="1"/>
      <c r="G788" s="1"/>
      <c r="H788" s="2"/>
      <c r="I788" s="2"/>
      <c r="J788" s="2"/>
      <c r="K788" s="1"/>
      <c r="L788" s="1"/>
      <c r="M788" s="1"/>
      <c r="N788" s="1"/>
      <c r="O788" s="1"/>
      <c r="P788" s="1"/>
      <c r="Q788" s="1"/>
    </row>
    <row r="789" spans="1:17" x14ac:dyDescent="0.25">
      <c r="A789" s="1"/>
      <c r="B789" s="1"/>
      <c r="C789" s="1"/>
      <c r="D789" s="1"/>
      <c r="E789" s="1"/>
      <c r="F789" s="1"/>
      <c r="G789" s="1"/>
      <c r="H789" s="2"/>
      <c r="I789" s="2"/>
      <c r="J789" s="2"/>
      <c r="K789" s="1"/>
      <c r="L789" s="1"/>
      <c r="M789" s="1"/>
      <c r="N789" s="1"/>
      <c r="O789" s="1"/>
      <c r="P789" s="1"/>
      <c r="Q789" s="1"/>
    </row>
    <row r="790" spans="1:17" x14ac:dyDescent="0.25">
      <c r="A790" s="1"/>
      <c r="B790" s="1"/>
      <c r="C790" s="1"/>
      <c r="D790" s="1"/>
      <c r="E790" s="1"/>
      <c r="F790" s="1"/>
      <c r="G790" s="1"/>
      <c r="H790" s="2"/>
      <c r="I790" s="2"/>
      <c r="J790" s="2"/>
      <c r="K790" s="1"/>
      <c r="L790" s="1"/>
      <c r="M790" s="1"/>
      <c r="N790" s="1"/>
      <c r="O790" s="1"/>
      <c r="P790" s="1"/>
      <c r="Q790" s="1"/>
    </row>
    <row r="791" spans="1:17" x14ac:dyDescent="0.25">
      <c r="A791" s="1"/>
      <c r="B791" s="1"/>
      <c r="C791" s="1"/>
      <c r="D791" s="1"/>
      <c r="E791" s="1"/>
      <c r="F791" s="1"/>
      <c r="G791" s="1"/>
      <c r="H791" s="2"/>
      <c r="I791" s="2"/>
      <c r="J791" s="2"/>
      <c r="K791" s="1"/>
      <c r="L791" s="1"/>
      <c r="M791" s="1"/>
      <c r="N791" s="1"/>
      <c r="O791" s="1"/>
      <c r="P791" s="1"/>
      <c r="Q791" s="1"/>
    </row>
    <row r="792" spans="1:17" x14ac:dyDescent="0.25">
      <c r="A792" s="1"/>
      <c r="B792" s="1"/>
      <c r="C792" s="1"/>
      <c r="D792" s="1"/>
      <c r="E792" s="1"/>
      <c r="F792" s="1"/>
      <c r="G792" s="1"/>
      <c r="H792" s="2"/>
      <c r="I792" s="2"/>
      <c r="J792" s="2"/>
      <c r="K792" s="1"/>
      <c r="L792" s="1"/>
      <c r="M792" s="1"/>
      <c r="N792" s="1"/>
      <c r="O792" s="1"/>
      <c r="P792" s="1"/>
      <c r="Q792" s="1"/>
    </row>
    <row r="793" spans="1:17" x14ac:dyDescent="0.25">
      <c r="A793" s="1"/>
      <c r="B793" s="1"/>
      <c r="C793" s="1"/>
      <c r="D793" s="1"/>
      <c r="E793" s="1"/>
      <c r="F793" s="1"/>
      <c r="G793" s="1"/>
      <c r="H793" s="2"/>
      <c r="I793" s="2"/>
      <c r="J793" s="2"/>
      <c r="K793" s="1"/>
      <c r="L793" s="1"/>
      <c r="M793" s="1"/>
      <c r="N793" s="1"/>
      <c r="O793" s="1"/>
      <c r="P793" s="1"/>
      <c r="Q793" s="1"/>
    </row>
    <row r="794" spans="1:17" x14ac:dyDescent="0.25">
      <c r="A794" s="1"/>
      <c r="B794" s="1"/>
      <c r="C794" s="1"/>
      <c r="D794" s="1"/>
      <c r="E794" s="1"/>
      <c r="F794" s="1"/>
      <c r="G794" s="1"/>
      <c r="H794" s="2"/>
      <c r="I794" s="2"/>
      <c r="J794" s="2"/>
      <c r="K794" s="1"/>
      <c r="L794" s="1"/>
      <c r="M794" s="1"/>
      <c r="N794" s="1"/>
      <c r="O794" s="1"/>
      <c r="P794" s="1"/>
      <c r="Q794" s="1"/>
    </row>
    <row r="795" spans="1:17" x14ac:dyDescent="0.25">
      <c r="A795" s="1"/>
      <c r="B795" s="1"/>
      <c r="C795" s="1"/>
      <c r="D795" s="1"/>
      <c r="E795" s="1"/>
      <c r="F795" s="1"/>
      <c r="G795" s="1"/>
      <c r="H795" s="2"/>
      <c r="I795" s="2"/>
      <c r="J795" s="2"/>
      <c r="K795" s="1"/>
      <c r="L795" s="1"/>
      <c r="M795" s="1"/>
      <c r="N795" s="1"/>
      <c r="O795" s="1"/>
      <c r="P795" s="1"/>
      <c r="Q795" s="1"/>
    </row>
    <row r="796" spans="1:17" x14ac:dyDescent="0.25">
      <c r="A796" s="1"/>
      <c r="B796" s="1"/>
      <c r="C796" s="1"/>
      <c r="D796" s="1"/>
      <c r="E796" s="1"/>
      <c r="F796" s="1"/>
      <c r="G796" s="1"/>
      <c r="H796" s="2"/>
      <c r="I796" s="2"/>
      <c r="J796" s="2"/>
      <c r="K796" s="1"/>
      <c r="L796" s="1"/>
      <c r="M796" s="1"/>
      <c r="N796" s="1"/>
      <c r="O796" s="1"/>
      <c r="P796" s="1"/>
      <c r="Q796" s="1"/>
    </row>
    <row r="797" spans="1:17" x14ac:dyDescent="0.25">
      <c r="A797" s="1"/>
      <c r="B797" s="1"/>
      <c r="C797" s="1"/>
      <c r="D797" s="1"/>
      <c r="E797" s="1"/>
      <c r="F797" s="1"/>
      <c r="G797" s="1"/>
      <c r="H797" s="2"/>
      <c r="I797" s="2"/>
      <c r="J797" s="2"/>
      <c r="K797" s="1"/>
      <c r="L797" s="1"/>
      <c r="M797" s="1"/>
      <c r="N797" s="1"/>
      <c r="O797" s="1"/>
      <c r="P797" s="1"/>
      <c r="Q797" s="1"/>
    </row>
    <row r="798" spans="1:17" x14ac:dyDescent="0.25">
      <c r="A798" s="1"/>
      <c r="B798" s="1"/>
      <c r="C798" s="1"/>
      <c r="D798" s="1"/>
      <c r="E798" s="1"/>
      <c r="F798" s="1"/>
      <c r="G798" s="1"/>
      <c r="H798" s="2"/>
      <c r="I798" s="2"/>
      <c r="J798" s="2"/>
      <c r="K798" s="1"/>
      <c r="L798" s="1"/>
      <c r="M798" s="1"/>
      <c r="N798" s="1"/>
      <c r="O798" s="1"/>
      <c r="P798" s="1"/>
      <c r="Q798" s="1"/>
    </row>
    <row r="799" spans="1:17" x14ac:dyDescent="0.25">
      <c r="A799" s="1"/>
      <c r="B799" s="1"/>
      <c r="C799" s="1"/>
      <c r="D799" s="1"/>
      <c r="E799" s="1"/>
      <c r="F799" s="1"/>
      <c r="G799" s="1"/>
      <c r="H799" s="2"/>
      <c r="I799" s="2"/>
      <c r="J799" s="2"/>
      <c r="K799" s="1"/>
      <c r="L799" s="1"/>
      <c r="M799" s="1"/>
      <c r="N799" s="1"/>
      <c r="O799" s="1"/>
      <c r="P799" s="1"/>
      <c r="Q799" s="1"/>
    </row>
    <row r="800" spans="1:17" x14ac:dyDescent="0.25">
      <c r="A800" s="1"/>
      <c r="B800" s="1"/>
      <c r="C800" s="1"/>
      <c r="D800" s="1"/>
      <c r="E800" s="1"/>
      <c r="F800" s="1"/>
      <c r="G800" s="1"/>
      <c r="H800" s="2"/>
      <c r="I800" s="2"/>
      <c r="J800" s="2"/>
      <c r="K800" s="1"/>
      <c r="L800" s="1"/>
      <c r="M800" s="1"/>
      <c r="N800" s="1"/>
      <c r="O800" s="1"/>
      <c r="P800" s="1"/>
      <c r="Q800" s="1"/>
    </row>
    <row r="801" spans="1:17" x14ac:dyDescent="0.25">
      <c r="A801" s="1"/>
      <c r="B801" s="1"/>
      <c r="C801" s="1"/>
      <c r="D801" s="1"/>
      <c r="E801" s="1"/>
      <c r="F801" s="1"/>
      <c r="G801" s="1"/>
      <c r="H801" s="2"/>
      <c r="I801" s="2"/>
      <c r="J801" s="2"/>
      <c r="K801" s="1"/>
      <c r="L801" s="1"/>
      <c r="M801" s="1"/>
      <c r="N801" s="1"/>
      <c r="O801" s="1"/>
      <c r="P801" s="1"/>
      <c r="Q801" s="1"/>
    </row>
    <row r="802" spans="1:17" x14ac:dyDescent="0.25">
      <c r="A802" s="1"/>
      <c r="B802" s="1"/>
      <c r="C802" s="1"/>
      <c r="D802" s="1"/>
      <c r="E802" s="1"/>
      <c r="F802" s="1"/>
      <c r="G802" s="1"/>
      <c r="H802" s="2"/>
      <c r="I802" s="2"/>
      <c r="J802" s="2"/>
      <c r="K802" s="1"/>
      <c r="L802" s="1"/>
      <c r="M802" s="1"/>
      <c r="N802" s="1"/>
      <c r="O802" s="1"/>
      <c r="P802" s="1"/>
      <c r="Q802" s="1"/>
    </row>
    <row r="803" spans="1:17" x14ac:dyDescent="0.25">
      <c r="A803" s="1"/>
      <c r="B803" s="1"/>
      <c r="C803" s="1"/>
      <c r="D803" s="1"/>
      <c r="E803" s="1"/>
      <c r="F803" s="1"/>
      <c r="G803" s="1"/>
      <c r="H803" s="2"/>
      <c r="I803" s="2"/>
      <c r="J803" s="2"/>
      <c r="K803" s="1"/>
      <c r="L803" s="1"/>
      <c r="M803" s="1"/>
      <c r="N803" s="1"/>
      <c r="O803" s="1"/>
      <c r="P803" s="1"/>
      <c r="Q803" s="1"/>
    </row>
    <row r="804" spans="1:17" x14ac:dyDescent="0.25">
      <c r="A804" s="1"/>
      <c r="B804" s="1"/>
      <c r="C804" s="1"/>
      <c r="D804" s="1"/>
      <c r="E804" s="1"/>
      <c r="F804" s="1"/>
      <c r="G804" s="1"/>
      <c r="H804" s="2"/>
      <c r="I804" s="2"/>
      <c r="J804" s="2"/>
      <c r="K804" s="1"/>
      <c r="L804" s="1"/>
      <c r="M804" s="1"/>
      <c r="N804" s="1"/>
      <c r="O804" s="1"/>
      <c r="P804" s="1"/>
      <c r="Q804" s="1"/>
    </row>
    <row r="805" spans="1:17" x14ac:dyDescent="0.25">
      <c r="A805" s="1"/>
      <c r="B805" s="1"/>
      <c r="C805" s="1"/>
      <c r="D805" s="1"/>
      <c r="E805" s="1"/>
      <c r="F805" s="1"/>
      <c r="G805" s="1"/>
      <c r="H805" s="2"/>
      <c r="I805" s="2"/>
      <c r="J805" s="2"/>
      <c r="K805" s="1"/>
      <c r="L805" s="1"/>
      <c r="M805" s="1"/>
      <c r="N805" s="1"/>
      <c r="O805" s="1"/>
      <c r="P805" s="1"/>
      <c r="Q805" s="1"/>
    </row>
    <row r="806" spans="1:17" x14ac:dyDescent="0.25">
      <c r="A806" s="1"/>
      <c r="B806" s="1"/>
      <c r="C806" s="1"/>
      <c r="D806" s="1"/>
      <c r="E806" s="1"/>
      <c r="F806" s="1"/>
      <c r="G806" s="1"/>
      <c r="H806" s="2"/>
      <c r="I806" s="2"/>
      <c r="J806" s="2"/>
      <c r="K806" s="1"/>
      <c r="L806" s="1"/>
      <c r="M806" s="1"/>
      <c r="N806" s="1"/>
      <c r="O806" s="1"/>
      <c r="P806" s="1"/>
      <c r="Q806" s="1"/>
    </row>
    <row r="807" spans="1:17" x14ac:dyDescent="0.25">
      <c r="A807" s="1"/>
      <c r="B807" s="1"/>
      <c r="C807" s="1"/>
      <c r="D807" s="1"/>
      <c r="E807" s="1"/>
      <c r="F807" s="1"/>
      <c r="G807" s="1"/>
      <c r="H807" s="2"/>
      <c r="I807" s="2"/>
      <c r="J807" s="2"/>
      <c r="K807" s="1"/>
      <c r="L807" s="1"/>
      <c r="M807" s="1"/>
      <c r="N807" s="1"/>
      <c r="O807" s="1"/>
      <c r="P807" s="1"/>
      <c r="Q807" s="1"/>
    </row>
    <row r="808" spans="1:17" x14ac:dyDescent="0.25">
      <c r="A808" s="1"/>
      <c r="B808" s="1"/>
      <c r="C808" s="1"/>
      <c r="D808" s="1"/>
      <c r="E808" s="1"/>
      <c r="F808" s="1"/>
      <c r="G808" s="1"/>
      <c r="H808" s="2"/>
      <c r="I808" s="2"/>
      <c r="J808" s="2"/>
      <c r="K808" s="1"/>
      <c r="L808" s="1"/>
      <c r="M808" s="1"/>
      <c r="N808" s="1"/>
      <c r="O808" s="1"/>
      <c r="P808" s="1"/>
      <c r="Q808" s="1"/>
    </row>
    <row r="809" spans="1:17" x14ac:dyDescent="0.25">
      <c r="A809" s="1"/>
      <c r="B809" s="1"/>
      <c r="C809" s="1"/>
      <c r="D809" s="1"/>
      <c r="E809" s="1"/>
      <c r="F809" s="1"/>
      <c r="G809" s="1"/>
      <c r="H809" s="2"/>
      <c r="I809" s="2"/>
      <c r="J809" s="2"/>
      <c r="K809" s="1"/>
      <c r="L809" s="1"/>
      <c r="M809" s="1"/>
      <c r="N809" s="1"/>
      <c r="O809" s="1"/>
      <c r="P809" s="1"/>
      <c r="Q809" s="1"/>
    </row>
    <row r="810" spans="1:17" x14ac:dyDescent="0.25">
      <c r="A810" s="1"/>
      <c r="B810" s="1"/>
      <c r="C810" s="1"/>
      <c r="D810" s="1"/>
      <c r="E810" s="1"/>
      <c r="F810" s="1"/>
      <c r="G810" s="1"/>
      <c r="H810" s="2"/>
      <c r="I810" s="2"/>
      <c r="J810" s="2"/>
      <c r="K810" s="1"/>
      <c r="L810" s="1"/>
      <c r="M810" s="1"/>
      <c r="N810" s="1"/>
      <c r="O810" s="1"/>
      <c r="P810" s="1"/>
      <c r="Q810" s="1"/>
    </row>
    <row r="811" spans="1:17" x14ac:dyDescent="0.25">
      <c r="A811" s="1"/>
      <c r="B811" s="1"/>
      <c r="C811" s="1"/>
      <c r="D811" s="1"/>
      <c r="E811" s="1"/>
      <c r="F811" s="1"/>
      <c r="G811" s="1"/>
      <c r="H811" s="2"/>
      <c r="I811" s="2"/>
      <c r="J811" s="2"/>
      <c r="K811" s="1"/>
      <c r="L811" s="1"/>
      <c r="M811" s="1"/>
      <c r="N811" s="1"/>
      <c r="O811" s="1"/>
      <c r="P811" s="1"/>
      <c r="Q811" s="1"/>
    </row>
    <row r="812" spans="1:17" x14ac:dyDescent="0.25">
      <c r="A812" s="1"/>
      <c r="B812" s="1"/>
      <c r="C812" s="1"/>
      <c r="D812" s="1"/>
      <c r="E812" s="1"/>
      <c r="F812" s="1"/>
      <c r="G812" s="1"/>
      <c r="H812" s="2"/>
      <c r="I812" s="2"/>
      <c r="J812" s="2"/>
      <c r="K812" s="1"/>
      <c r="L812" s="1"/>
      <c r="M812" s="1"/>
      <c r="N812" s="1"/>
      <c r="O812" s="1"/>
      <c r="P812" s="1"/>
      <c r="Q812" s="1"/>
    </row>
    <row r="813" spans="1:17" x14ac:dyDescent="0.25">
      <c r="A813" s="1"/>
      <c r="B813" s="1"/>
      <c r="C813" s="1"/>
      <c r="D813" s="1"/>
      <c r="E813" s="1"/>
      <c r="F813" s="1"/>
      <c r="G813" s="1"/>
      <c r="H813" s="2"/>
      <c r="I813" s="2"/>
      <c r="J813" s="2"/>
      <c r="K813" s="1"/>
      <c r="L813" s="1"/>
      <c r="M813" s="1"/>
      <c r="N813" s="1"/>
      <c r="O813" s="1"/>
      <c r="P813" s="1"/>
      <c r="Q813" s="1"/>
    </row>
    <row r="814" spans="1:17" x14ac:dyDescent="0.25">
      <c r="A814" s="1"/>
      <c r="B814" s="1"/>
      <c r="C814" s="1"/>
      <c r="D814" s="1"/>
      <c r="E814" s="1"/>
      <c r="F814" s="1"/>
      <c r="G814" s="1"/>
      <c r="H814" s="2"/>
      <c r="I814" s="2"/>
      <c r="J814" s="2"/>
      <c r="K814" s="1"/>
      <c r="L814" s="1"/>
      <c r="M814" s="1"/>
      <c r="N814" s="1"/>
      <c r="O814" s="1"/>
      <c r="P814" s="1"/>
      <c r="Q814" s="1"/>
    </row>
    <row r="815" spans="1:17" x14ac:dyDescent="0.25">
      <c r="A815" s="1"/>
      <c r="B815" s="1"/>
      <c r="C815" s="1"/>
      <c r="D815" s="1"/>
      <c r="E815" s="1"/>
      <c r="F815" s="1"/>
      <c r="G815" s="1"/>
      <c r="H815" s="2"/>
      <c r="I815" s="2"/>
      <c r="J815" s="2"/>
      <c r="K815" s="1"/>
      <c r="L815" s="1"/>
      <c r="M815" s="1"/>
      <c r="N815" s="1"/>
      <c r="O815" s="1"/>
      <c r="P815" s="1"/>
      <c r="Q815" s="1"/>
    </row>
    <row r="816" spans="1:17" x14ac:dyDescent="0.25">
      <c r="A816" s="1"/>
      <c r="B816" s="1"/>
      <c r="C816" s="1"/>
      <c r="D816" s="1"/>
      <c r="E816" s="1"/>
      <c r="F816" s="1"/>
      <c r="G816" s="1"/>
      <c r="H816" s="2"/>
      <c r="I816" s="2"/>
      <c r="J816" s="2"/>
      <c r="K816" s="1"/>
      <c r="L816" s="1"/>
      <c r="M816" s="1"/>
      <c r="N816" s="1"/>
      <c r="O816" s="1"/>
      <c r="P816" s="1"/>
      <c r="Q816" s="1"/>
    </row>
    <row r="817" spans="1:17" x14ac:dyDescent="0.25">
      <c r="A817" s="1"/>
      <c r="B817" s="1"/>
      <c r="C817" s="1"/>
      <c r="D817" s="1"/>
      <c r="E817" s="1"/>
      <c r="F817" s="1"/>
      <c r="G817" s="1"/>
      <c r="H817" s="2"/>
      <c r="I817" s="2"/>
      <c r="J817" s="2"/>
      <c r="K817" s="1"/>
      <c r="L817" s="1"/>
      <c r="M817" s="1"/>
      <c r="N817" s="1"/>
      <c r="O817" s="1"/>
      <c r="P817" s="1"/>
      <c r="Q817" s="1"/>
    </row>
    <row r="818" spans="1:17" x14ac:dyDescent="0.25">
      <c r="A818" s="1"/>
      <c r="B818" s="1"/>
      <c r="C818" s="1"/>
      <c r="D818" s="1"/>
      <c r="E818" s="1"/>
      <c r="F818" s="1"/>
      <c r="G818" s="1"/>
      <c r="H818" s="2"/>
      <c r="I818" s="2"/>
      <c r="J818" s="2"/>
      <c r="K818" s="1"/>
      <c r="L818" s="1"/>
      <c r="M818" s="1"/>
      <c r="N818" s="1"/>
      <c r="O818" s="1"/>
      <c r="P818" s="1"/>
      <c r="Q818" s="1"/>
    </row>
    <row r="819" spans="1:17" x14ac:dyDescent="0.25">
      <c r="A819" s="1"/>
      <c r="B819" s="1"/>
      <c r="C819" s="1"/>
      <c r="D819" s="1"/>
      <c r="E819" s="1"/>
      <c r="F819" s="1"/>
      <c r="G819" s="1"/>
      <c r="H819" s="2"/>
      <c r="I819" s="2"/>
      <c r="J819" s="2"/>
      <c r="K819" s="1"/>
      <c r="L819" s="1"/>
      <c r="M819" s="1"/>
      <c r="N819" s="1"/>
      <c r="O819" s="1"/>
      <c r="P819" s="1"/>
      <c r="Q819" s="1"/>
    </row>
    <row r="820" spans="1:17" x14ac:dyDescent="0.25">
      <c r="A820" s="1"/>
      <c r="B820" s="1"/>
      <c r="C820" s="1"/>
      <c r="D820" s="1"/>
      <c r="E820" s="1"/>
      <c r="F820" s="1"/>
      <c r="G820" s="1"/>
      <c r="H820" s="2"/>
      <c r="I820" s="2"/>
      <c r="J820" s="2"/>
      <c r="K820" s="1"/>
      <c r="L820" s="1"/>
      <c r="M820" s="1"/>
      <c r="N820" s="1"/>
      <c r="O820" s="1"/>
      <c r="P820" s="1"/>
      <c r="Q820" s="1"/>
    </row>
    <row r="821" spans="1:17" x14ac:dyDescent="0.25">
      <c r="A821" s="1"/>
      <c r="B821" s="1"/>
      <c r="C821" s="1"/>
      <c r="D821" s="1"/>
      <c r="E821" s="1"/>
      <c r="F821" s="1"/>
      <c r="G821" s="1"/>
      <c r="H821" s="2"/>
      <c r="I821" s="2"/>
      <c r="J821" s="2"/>
      <c r="K821" s="1"/>
      <c r="L821" s="1"/>
      <c r="M821" s="1"/>
      <c r="N821" s="1"/>
      <c r="O821" s="1"/>
      <c r="P821" s="1"/>
      <c r="Q821" s="1"/>
    </row>
    <row r="822" spans="1:17" x14ac:dyDescent="0.25">
      <c r="A822" s="1"/>
      <c r="B822" s="1"/>
      <c r="C822" s="1"/>
      <c r="D822" s="1"/>
      <c r="E822" s="1"/>
      <c r="F822" s="1"/>
      <c r="G822" s="1"/>
      <c r="H822" s="2"/>
      <c r="I822" s="2"/>
      <c r="J822" s="2"/>
      <c r="K822" s="1"/>
      <c r="L822" s="1"/>
      <c r="M822" s="1"/>
      <c r="N822" s="1"/>
      <c r="O822" s="1"/>
      <c r="P822" s="1"/>
      <c r="Q822" s="1"/>
    </row>
    <row r="823" spans="1:17" x14ac:dyDescent="0.25">
      <c r="A823" s="1"/>
      <c r="B823" s="1"/>
      <c r="C823" s="1"/>
      <c r="D823" s="1"/>
      <c r="E823" s="1"/>
      <c r="F823" s="1"/>
      <c r="G823" s="1"/>
      <c r="H823" s="2"/>
      <c r="I823" s="2"/>
      <c r="J823" s="2"/>
      <c r="K823" s="1"/>
      <c r="L823" s="1"/>
      <c r="M823" s="1"/>
      <c r="N823" s="1"/>
      <c r="O823" s="1"/>
      <c r="P823" s="1"/>
      <c r="Q823" s="1"/>
    </row>
    <row r="824" spans="1:17" x14ac:dyDescent="0.25">
      <c r="A824" s="1"/>
      <c r="B824" s="1"/>
      <c r="C824" s="1"/>
      <c r="D824" s="1"/>
      <c r="E824" s="1"/>
      <c r="F824" s="1"/>
      <c r="G824" s="1"/>
      <c r="H824" s="2"/>
      <c r="I824" s="2"/>
      <c r="J824" s="2"/>
      <c r="K824" s="1"/>
      <c r="L824" s="1"/>
      <c r="M824" s="1"/>
      <c r="N824" s="1"/>
      <c r="O824" s="1"/>
      <c r="P824" s="1"/>
      <c r="Q824" s="1"/>
    </row>
    <row r="825" spans="1:17" x14ac:dyDescent="0.25">
      <c r="A825" s="1"/>
      <c r="B825" s="1"/>
      <c r="C825" s="1"/>
      <c r="D825" s="1"/>
      <c r="E825" s="1"/>
      <c r="F825" s="1"/>
      <c r="G825" s="1"/>
      <c r="H825" s="2"/>
      <c r="I825" s="2"/>
      <c r="J825" s="2"/>
      <c r="K825" s="1"/>
      <c r="L825" s="1"/>
      <c r="M825" s="1"/>
      <c r="N825" s="1"/>
      <c r="O825" s="1"/>
      <c r="P825" s="1"/>
      <c r="Q825" s="1"/>
    </row>
    <row r="826" spans="1:17" x14ac:dyDescent="0.25">
      <c r="A826" s="1"/>
      <c r="B826" s="1"/>
      <c r="C826" s="1"/>
      <c r="D826" s="1"/>
      <c r="E826" s="1"/>
      <c r="F826" s="1"/>
      <c r="G826" s="1"/>
      <c r="H826" s="2"/>
      <c r="I826" s="2"/>
      <c r="J826" s="2"/>
      <c r="K826" s="1"/>
      <c r="L826" s="1"/>
      <c r="M826" s="1"/>
      <c r="N826" s="1"/>
      <c r="O826" s="1"/>
      <c r="P826" s="1"/>
      <c r="Q826" s="1"/>
    </row>
    <row r="827" spans="1:17" x14ac:dyDescent="0.25">
      <c r="A827" s="1"/>
      <c r="B827" s="1"/>
      <c r="C827" s="1"/>
      <c r="D827" s="1"/>
      <c r="E827" s="1"/>
      <c r="F827" s="1"/>
      <c r="G827" s="1"/>
      <c r="H827" s="2"/>
      <c r="I827" s="2"/>
      <c r="J827" s="2"/>
      <c r="K827" s="1"/>
      <c r="L827" s="1"/>
      <c r="M827" s="1"/>
      <c r="N827" s="1"/>
      <c r="O827" s="1"/>
      <c r="P827" s="1"/>
      <c r="Q827" s="1"/>
    </row>
    <row r="828" spans="1:17" x14ac:dyDescent="0.25">
      <c r="A828" s="1"/>
      <c r="B828" s="1"/>
      <c r="C828" s="1"/>
      <c r="D828" s="1"/>
      <c r="E828" s="1"/>
      <c r="F828" s="1"/>
      <c r="G828" s="1"/>
      <c r="H828" s="2"/>
      <c r="I828" s="2"/>
      <c r="J828" s="2"/>
      <c r="K828" s="1"/>
      <c r="L828" s="1"/>
      <c r="M828" s="1"/>
      <c r="N828" s="1"/>
      <c r="O828" s="1"/>
      <c r="P828" s="1"/>
      <c r="Q828" s="1"/>
    </row>
    <row r="829" spans="1:17" x14ac:dyDescent="0.25">
      <c r="A829" s="1"/>
      <c r="B829" s="1"/>
      <c r="C829" s="1"/>
      <c r="D829" s="1"/>
      <c r="E829" s="1"/>
      <c r="F829" s="1"/>
      <c r="G829" s="1"/>
      <c r="H829" s="2"/>
      <c r="I829" s="2"/>
      <c r="J829" s="2"/>
      <c r="K829" s="1"/>
      <c r="L829" s="1"/>
      <c r="M829" s="1"/>
      <c r="N829" s="1"/>
      <c r="O829" s="1"/>
      <c r="P829" s="1"/>
      <c r="Q829" s="1"/>
    </row>
    <row r="830" spans="1:17" x14ac:dyDescent="0.25">
      <c r="A830" s="1"/>
      <c r="B830" s="1"/>
      <c r="C830" s="1"/>
      <c r="D830" s="1"/>
      <c r="E830" s="1"/>
      <c r="F830" s="1"/>
      <c r="G830" s="1"/>
      <c r="H830" s="2"/>
      <c r="I830" s="2"/>
      <c r="J830" s="2"/>
      <c r="K830" s="1"/>
      <c r="L830" s="1"/>
      <c r="M830" s="1"/>
      <c r="N830" s="1"/>
      <c r="O830" s="1"/>
      <c r="P830" s="1"/>
      <c r="Q830" s="1"/>
    </row>
    <row r="831" spans="1:17" x14ac:dyDescent="0.25">
      <c r="A831" s="1"/>
      <c r="B831" s="1"/>
      <c r="C831" s="1"/>
      <c r="D831" s="1"/>
      <c r="E831" s="1"/>
      <c r="F831" s="1"/>
      <c r="G831" s="1"/>
      <c r="H831" s="2"/>
      <c r="I831" s="2"/>
      <c r="J831" s="2"/>
      <c r="K831" s="1"/>
      <c r="L831" s="1"/>
      <c r="M831" s="1"/>
      <c r="N831" s="1"/>
      <c r="O831" s="1"/>
      <c r="P831" s="1"/>
      <c r="Q831" s="1"/>
    </row>
    <row r="832" spans="1:17" x14ac:dyDescent="0.25">
      <c r="A832" s="1"/>
      <c r="B832" s="1"/>
      <c r="C832" s="1"/>
      <c r="D832" s="1"/>
      <c r="E832" s="1"/>
      <c r="F832" s="1"/>
      <c r="G832" s="1"/>
      <c r="H832" s="2"/>
      <c r="I832" s="2"/>
      <c r="J832" s="2"/>
      <c r="K832" s="1"/>
      <c r="L832" s="1"/>
      <c r="M832" s="1"/>
      <c r="N832" s="1"/>
      <c r="O832" s="1"/>
      <c r="P832" s="1"/>
      <c r="Q832" s="1"/>
    </row>
    <row r="833" spans="1:17" x14ac:dyDescent="0.25">
      <c r="A833" s="1"/>
      <c r="B833" s="1"/>
      <c r="C833" s="1"/>
      <c r="D833" s="1"/>
      <c r="E833" s="1"/>
      <c r="F833" s="1"/>
      <c r="G833" s="1"/>
      <c r="H833" s="2"/>
      <c r="I833" s="2"/>
      <c r="J833" s="2"/>
      <c r="K833" s="1"/>
      <c r="L833" s="1"/>
      <c r="M833" s="1"/>
      <c r="N833" s="1"/>
      <c r="O833" s="1"/>
      <c r="P833" s="1"/>
      <c r="Q833" s="1"/>
    </row>
    <row r="834" spans="1:17" x14ac:dyDescent="0.25">
      <c r="A834" s="1"/>
      <c r="B834" s="1"/>
      <c r="C834" s="1"/>
      <c r="D834" s="1"/>
      <c r="E834" s="1"/>
      <c r="F834" s="1"/>
      <c r="G834" s="1"/>
      <c r="H834" s="2"/>
      <c r="I834" s="2"/>
      <c r="J834" s="2"/>
      <c r="K834" s="1"/>
      <c r="L834" s="1"/>
      <c r="M834" s="1"/>
      <c r="N834" s="1"/>
      <c r="O834" s="1"/>
      <c r="P834" s="1"/>
      <c r="Q834" s="1"/>
    </row>
    <row r="835" spans="1:17" x14ac:dyDescent="0.25">
      <c r="A835" s="1"/>
      <c r="B835" s="1"/>
      <c r="C835" s="1"/>
      <c r="D835" s="1"/>
      <c r="E835" s="1"/>
      <c r="F835" s="1"/>
      <c r="G835" s="1"/>
      <c r="H835" s="2"/>
      <c r="I835" s="2"/>
      <c r="J835" s="2"/>
      <c r="K835" s="1"/>
      <c r="L835" s="1"/>
      <c r="M835" s="1"/>
      <c r="N835" s="1"/>
      <c r="O835" s="1"/>
      <c r="P835" s="1"/>
      <c r="Q835" s="1"/>
    </row>
    <row r="836" spans="1:17" x14ac:dyDescent="0.25">
      <c r="A836" s="1"/>
      <c r="B836" s="1"/>
      <c r="C836" s="1"/>
      <c r="D836" s="1"/>
      <c r="E836" s="1"/>
      <c r="F836" s="1"/>
      <c r="G836" s="1"/>
      <c r="H836" s="2"/>
      <c r="I836" s="2"/>
      <c r="J836" s="2"/>
      <c r="K836" s="1"/>
      <c r="L836" s="1"/>
      <c r="M836" s="1"/>
      <c r="N836" s="1"/>
      <c r="O836" s="1"/>
      <c r="P836" s="1"/>
      <c r="Q836" s="1"/>
    </row>
    <row r="837" spans="1:17" x14ac:dyDescent="0.25">
      <c r="A837" s="1"/>
      <c r="B837" s="1"/>
      <c r="C837" s="1"/>
      <c r="D837" s="1"/>
      <c r="E837" s="1"/>
      <c r="F837" s="1"/>
      <c r="G837" s="1"/>
      <c r="H837" s="2"/>
      <c r="I837" s="2"/>
      <c r="J837" s="2"/>
      <c r="K837" s="1"/>
      <c r="L837" s="1"/>
      <c r="M837" s="1"/>
      <c r="N837" s="1"/>
      <c r="O837" s="1"/>
      <c r="P837" s="1"/>
      <c r="Q837" s="1"/>
    </row>
    <row r="838" spans="1:17" x14ac:dyDescent="0.25">
      <c r="A838" s="1"/>
      <c r="B838" s="1"/>
      <c r="C838" s="1"/>
      <c r="D838" s="1"/>
      <c r="E838" s="1"/>
      <c r="F838" s="1"/>
      <c r="G838" s="1"/>
      <c r="H838" s="2"/>
      <c r="I838" s="2"/>
      <c r="J838" s="2"/>
      <c r="K838" s="1"/>
      <c r="L838" s="1"/>
      <c r="M838" s="1"/>
      <c r="N838" s="1"/>
      <c r="O838" s="1"/>
      <c r="P838" s="1"/>
      <c r="Q838" s="1"/>
    </row>
    <row r="839" spans="1:17" x14ac:dyDescent="0.25">
      <c r="A839" s="1"/>
      <c r="B839" s="1"/>
      <c r="C839" s="1"/>
      <c r="D839" s="1"/>
      <c r="E839" s="1"/>
      <c r="F839" s="1"/>
      <c r="G839" s="1"/>
      <c r="H839" s="2"/>
      <c r="I839" s="2"/>
      <c r="J839" s="2"/>
      <c r="K839" s="1"/>
      <c r="L839" s="1"/>
      <c r="M839" s="1"/>
      <c r="N839" s="1"/>
      <c r="O839" s="1"/>
      <c r="P839" s="1"/>
      <c r="Q839" s="1"/>
    </row>
    <row r="840" spans="1:17" x14ac:dyDescent="0.25">
      <c r="A840" s="1"/>
      <c r="B840" s="1"/>
      <c r="C840" s="1"/>
      <c r="D840" s="1"/>
      <c r="E840" s="1"/>
      <c r="F840" s="1"/>
      <c r="G840" s="1"/>
      <c r="H840" s="2"/>
      <c r="I840" s="2"/>
      <c r="J840" s="2"/>
      <c r="K840" s="1"/>
      <c r="L840" s="1"/>
      <c r="M840" s="1"/>
      <c r="N840" s="1"/>
      <c r="O840" s="1"/>
      <c r="P840" s="1"/>
      <c r="Q840" s="1"/>
    </row>
    <row r="841" spans="1:17" x14ac:dyDescent="0.25">
      <c r="A841" s="1"/>
      <c r="B841" s="1"/>
      <c r="C841" s="1"/>
      <c r="D841" s="1"/>
      <c r="E841" s="1"/>
      <c r="F841" s="1"/>
      <c r="G841" s="1"/>
      <c r="H841" s="2"/>
      <c r="I841" s="2"/>
      <c r="J841" s="2"/>
      <c r="K841" s="1"/>
      <c r="L841" s="1"/>
      <c r="M841" s="1"/>
      <c r="N841" s="1"/>
      <c r="O841" s="1"/>
      <c r="P841" s="1"/>
      <c r="Q841" s="1"/>
    </row>
    <row r="842" spans="1:17" x14ac:dyDescent="0.25">
      <c r="A842" s="1"/>
      <c r="B842" s="1"/>
      <c r="C842" s="1"/>
      <c r="D842" s="1"/>
      <c r="E842" s="1"/>
      <c r="F842" s="1"/>
      <c r="G842" s="1"/>
      <c r="H842" s="2"/>
      <c r="I842" s="2"/>
      <c r="J842" s="2"/>
      <c r="K842" s="1"/>
      <c r="L842" s="1"/>
      <c r="M842" s="1"/>
      <c r="N842" s="1"/>
      <c r="O842" s="1"/>
      <c r="P842" s="1"/>
      <c r="Q842" s="1"/>
    </row>
    <row r="843" spans="1:17" x14ac:dyDescent="0.25">
      <c r="A843" s="1"/>
      <c r="B843" s="1"/>
      <c r="C843" s="1"/>
      <c r="D843" s="1"/>
      <c r="E843" s="1"/>
      <c r="F843" s="1"/>
      <c r="G843" s="1"/>
      <c r="H843" s="2"/>
      <c r="I843" s="2"/>
      <c r="J843" s="2"/>
      <c r="K843" s="1"/>
      <c r="L843" s="1"/>
      <c r="M843" s="1"/>
      <c r="N843" s="1"/>
      <c r="O843" s="1"/>
      <c r="P843" s="1"/>
      <c r="Q843" s="1"/>
    </row>
    <row r="844" spans="1:17" x14ac:dyDescent="0.25">
      <c r="A844" s="1"/>
      <c r="B844" s="1"/>
      <c r="C844" s="1"/>
      <c r="D844" s="1"/>
      <c r="E844" s="1"/>
      <c r="F844" s="1"/>
      <c r="G844" s="1"/>
      <c r="H844" s="2"/>
      <c r="I844" s="2"/>
      <c r="J844" s="2"/>
      <c r="K844" s="1"/>
      <c r="L844" s="1"/>
      <c r="M844" s="1"/>
      <c r="N844" s="1"/>
      <c r="O844" s="1"/>
      <c r="P844" s="1"/>
      <c r="Q844" s="1"/>
    </row>
    <row r="845" spans="1:17" x14ac:dyDescent="0.25">
      <c r="A845" s="1"/>
      <c r="B845" s="1"/>
      <c r="C845" s="1"/>
      <c r="D845" s="1"/>
      <c r="E845" s="1"/>
      <c r="F845" s="1"/>
      <c r="G845" s="1"/>
      <c r="H845" s="2"/>
      <c r="I845" s="2"/>
      <c r="J845" s="2"/>
      <c r="K845" s="1"/>
      <c r="L845" s="1"/>
      <c r="M845" s="1"/>
      <c r="N845" s="1"/>
      <c r="O845" s="1"/>
      <c r="P845" s="1"/>
      <c r="Q845" s="1"/>
    </row>
    <row r="846" spans="1:17" x14ac:dyDescent="0.25">
      <c r="A846" s="1"/>
      <c r="B846" s="1"/>
      <c r="C846" s="1"/>
      <c r="D846" s="1"/>
      <c r="E846" s="1"/>
      <c r="F846" s="1"/>
      <c r="G846" s="1"/>
      <c r="H846" s="2"/>
      <c r="I846" s="2"/>
      <c r="J846" s="2"/>
      <c r="K846" s="1"/>
      <c r="L846" s="1"/>
      <c r="M846" s="1"/>
      <c r="N846" s="1"/>
      <c r="O846" s="1"/>
      <c r="P846" s="1"/>
      <c r="Q846" s="1"/>
    </row>
    <row r="847" spans="1:17" x14ac:dyDescent="0.25">
      <c r="A847" s="1"/>
      <c r="B847" s="1"/>
      <c r="C847" s="1"/>
      <c r="D847" s="1"/>
      <c r="E847" s="1"/>
      <c r="F847" s="1"/>
      <c r="G847" s="1"/>
      <c r="H847" s="2"/>
      <c r="I847" s="2"/>
      <c r="J847" s="2"/>
      <c r="K847" s="1"/>
      <c r="L847" s="1"/>
      <c r="M847" s="1"/>
      <c r="N847" s="1"/>
      <c r="O847" s="1"/>
      <c r="P847" s="1"/>
      <c r="Q847" s="1"/>
    </row>
    <row r="848" spans="1:17" x14ac:dyDescent="0.25">
      <c r="A848" s="1"/>
      <c r="B848" s="1"/>
      <c r="C848" s="1"/>
      <c r="D848" s="1"/>
      <c r="E848" s="1"/>
      <c r="F848" s="1"/>
      <c r="G848" s="1"/>
      <c r="H848" s="2"/>
      <c r="I848" s="2"/>
      <c r="J848" s="2"/>
      <c r="K848" s="1"/>
      <c r="L848" s="1"/>
      <c r="M848" s="1"/>
      <c r="N848" s="1"/>
      <c r="O848" s="1"/>
      <c r="P848" s="1"/>
      <c r="Q848" s="1"/>
    </row>
    <row r="849" spans="1:17" x14ac:dyDescent="0.25">
      <c r="A849" s="1"/>
      <c r="B849" s="1"/>
      <c r="C849" s="1"/>
      <c r="D849" s="1"/>
      <c r="E849" s="1"/>
      <c r="F849" s="1"/>
      <c r="G849" s="1"/>
      <c r="H849" s="2"/>
      <c r="I849" s="2"/>
      <c r="J849" s="2"/>
      <c r="K849" s="1"/>
      <c r="L849" s="1"/>
      <c r="M849" s="1"/>
      <c r="N849" s="1"/>
      <c r="O849" s="1"/>
      <c r="P849" s="1"/>
      <c r="Q849" s="1"/>
    </row>
    <row r="850" spans="1:17" x14ac:dyDescent="0.25">
      <c r="A850" s="1"/>
      <c r="B850" s="1"/>
      <c r="C850" s="1"/>
      <c r="D850" s="1"/>
      <c r="E850" s="1"/>
      <c r="F850" s="1"/>
      <c r="G850" s="1"/>
      <c r="H850" s="2"/>
      <c r="I850" s="2"/>
      <c r="J850" s="2"/>
      <c r="K850" s="1"/>
      <c r="L850" s="1"/>
      <c r="M850" s="1"/>
      <c r="N850" s="1"/>
      <c r="O850" s="1"/>
      <c r="P850" s="1"/>
      <c r="Q850" s="1"/>
    </row>
    <row r="851" spans="1:17" x14ac:dyDescent="0.25">
      <c r="A851" s="1"/>
      <c r="B851" s="1"/>
      <c r="C851" s="1"/>
      <c r="D851" s="1"/>
      <c r="E851" s="1"/>
      <c r="F851" s="1"/>
      <c r="G851" s="1"/>
      <c r="H851" s="2"/>
      <c r="I851" s="2"/>
      <c r="J851" s="2"/>
      <c r="K851" s="1"/>
      <c r="L851" s="1"/>
      <c r="M851" s="1"/>
      <c r="N851" s="1"/>
      <c r="O851" s="1"/>
      <c r="P851" s="1"/>
      <c r="Q851" s="1"/>
    </row>
    <row r="852" spans="1:17" x14ac:dyDescent="0.25">
      <c r="A852" s="1"/>
      <c r="B852" s="1"/>
      <c r="C852" s="1"/>
      <c r="D852" s="1"/>
      <c r="E852" s="1"/>
      <c r="F852" s="1"/>
      <c r="G852" s="1"/>
      <c r="H852" s="2"/>
      <c r="I852" s="2"/>
      <c r="J852" s="2"/>
      <c r="K852" s="1"/>
      <c r="L852" s="1"/>
      <c r="M852" s="1"/>
      <c r="N852" s="1"/>
      <c r="O852" s="1"/>
      <c r="P852" s="1"/>
      <c r="Q852" s="1"/>
    </row>
    <row r="853" spans="1:17" x14ac:dyDescent="0.25">
      <c r="A853" s="1"/>
      <c r="B853" s="1"/>
      <c r="C853" s="1"/>
      <c r="D853" s="1"/>
      <c r="E853" s="1"/>
      <c r="F853" s="1"/>
      <c r="G853" s="1"/>
      <c r="H853" s="2"/>
      <c r="I853" s="2"/>
      <c r="J853" s="2"/>
      <c r="K853" s="1"/>
      <c r="L853" s="1"/>
      <c r="M853" s="1"/>
      <c r="N853" s="1"/>
      <c r="O853" s="1"/>
      <c r="P853" s="1"/>
      <c r="Q853" s="1"/>
    </row>
    <row r="854" spans="1:17" x14ac:dyDescent="0.25">
      <c r="A854" s="1"/>
      <c r="B854" s="1"/>
      <c r="C854" s="1"/>
      <c r="D854" s="1"/>
      <c r="E854" s="1"/>
      <c r="F854" s="1"/>
      <c r="G854" s="1"/>
      <c r="H854" s="2"/>
      <c r="I854" s="2"/>
      <c r="J854" s="2"/>
      <c r="K854" s="1"/>
      <c r="L854" s="1"/>
      <c r="M854" s="1"/>
      <c r="N854" s="1"/>
      <c r="O854" s="1"/>
      <c r="P854" s="1"/>
      <c r="Q854" s="1"/>
    </row>
    <row r="855" spans="1:17" x14ac:dyDescent="0.25">
      <c r="A855" s="1"/>
      <c r="B855" s="1"/>
      <c r="C855" s="1"/>
      <c r="D855" s="1"/>
      <c r="E855" s="1"/>
      <c r="F855" s="1"/>
      <c r="G855" s="1"/>
      <c r="H855" s="2"/>
      <c r="I855" s="2"/>
      <c r="J855" s="2"/>
      <c r="K855" s="1"/>
      <c r="L855" s="1"/>
      <c r="M855" s="1"/>
      <c r="N855" s="1"/>
      <c r="O855" s="1"/>
      <c r="P855" s="1"/>
      <c r="Q855" s="1"/>
    </row>
    <row r="856" spans="1:17" x14ac:dyDescent="0.25">
      <c r="A856" s="1"/>
      <c r="B856" s="1"/>
      <c r="C856" s="1"/>
      <c r="D856" s="1"/>
      <c r="E856" s="1"/>
      <c r="F856" s="1"/>
      <c r="G856" s="1"/>
      <c r="H856" s="2"/>
      <c r="I856" s="2"/>
      <c r="J856" s="2"/>
      <c r="K856" s="1"/>
      <c r="L856" s="1"/>
      <c r="M856" s="1"/>
      <c r="N856" s="1"/>
      <c r="O856" s="1"/>
      <c r="P856" s="1"/>
      <c r="Q856" s="1"/>
    </row>
    <row r="857" spans="1:17" x14ac:dyDescent="0.25">
      <c r="A857" s="1"/>
      <c r="B857" s="1"/>
      <c r="C857" s="1"/>
      <c r="D857" s="1"/>
      <c r="E857" s="1"/>
      <c r="F857" s="1"/>
      <c r="G857" s="1"/>
      <c r="H857" s="2"/>
      <c r="I857" s="2"/>
      <c r="J857" s="2"/>
      <c r="K857" s="1"/>
      <c r="L857" s="1"/>
      <c r="M857" s="1"/>
      <c r="N857" s="1"/>
      <c r="O857" s="1"/>
      <c r="P857" s="1"/>
      <c r="Q857" s="1"/>
    </row>
    <row r="858" spans="1:17" x14ac:dyDescent="0.25">
      <c r="A858" s="1"/>
      <c r="B858" s="1"/>
      <c r="C858" s="1"/>
      <c r="D858" s="1"/>
      <c r="E858" s="1"/>
      <c r="F858" s="1"/>
      <c r="G858" s="1"/>
      <c r="H858" s="2"/>
      <c r="I858" s="2"/>
      <c r="J858" s="2"/>
      <c r="K858" s="1"/>
      <c r="L858" s="1"/>
      <c r="M858" s="1"/>
      <c r="N858" s="1"/>
      <c r="O858" s="1"/>
      <c r="P858" s="1"/>
      <c r="Q858" s="1"/>
    </row>
    <row r="859" spans="1:17" x14ac:dyDescent="0.25">
      <c r="A859" s="1"/>
      <c r="B859" s="1"/>
      <c r="C859" s="1"/>
      <c r="D859" s="1"/>
      <c r="E859" s="1"/>
      <c r="F859" s="1"/>
      <c r="G859" s="1"/>
      <c r="H859" s="2"/>
      <c r="I859" s="2"/>
      <c r="J859" s="2"/>
      <c r="K859" s="1"/>
      <c r="L859" s="1"/>
      <c r="M859" s="1"/>
      <c r="N859" s="1"/>
      <c r="O859" s="1"/>
      <c r="P859" s="1"/>
      <c r="Q859" s="1"/>
    </row>
    <row r="860" spans="1:17" x14ac:dyDescent="0.25">
      <c r="A860" s="1"/>
      <c r="B860" s="1"/>
      <c r="C860" s="1"/>
      <c r="D860" s="1"/>
      <c r="E860" s="1"/>
      <c r="F860" s="1"/>
      <c r="G860" s="1"/>
      <c r="H860" s="2"/>
      <c r="I860" s="2"/>
      <c r="J860" s="2"/>
      <c r="K860" s="1"/>
      <c r="L860" s="1"/>
      <c r="M860" s="1"/>
      <c r="N860" s="1"/>
      <c r="O860" s="1"/>
      <c r="P860" s="1"/>
      <c r="Q860" s="1"/>
    </row>
    <row r="861" spans="1:17" x14ac:dyDescent="0.25">
      <c r="A861" s="1"/>
      <c r="B861" s="1"/>
      <c r="C861" s="1"/>
      <c r="D861" s="1"/>
      <c r="E861" s="1"/>
      <c r="F861" s="1"/>
      <c r="G861" s="1"/>
      <c r="H861" s="2"/>
      <c r="I861" s="2"/>
      <c r="J861" s="2"/>
      <c r="K861" s="1"/>
      <c r="L861" s="1"/>
      <c r="M861" s="1"/>
      <c r="N861" s="1"/>
      <c r="O861" s="1"/>
      <c r="P861" s="1"/>
      <c r="Q861" s="1"/>
    </row>
    <row r="862" spans="1:17" x14ac:dyDescent="0.25">
      <c r="A862" s="1"/>
      <c r="B862" s="1"/>
      <c r="C862" s="1"/>
      <c r="D862" s="1"/>
      <c r="E862" s="1"/>
      <c r="F862" s="1"/>
      <c r="G862" s="1"/>
      <c r="H862" s="2"/>
      <c r="I862" s="2"/>
      <c r="J862" s="2"/>
      <c r="K862" s="1"/>
      <c r="L862" s="1"/>
      <c r="M862" s="1"/>
      <c r="N862" s="1"/>
      <c r="O862" s="1"/>
      <c r="P862" s="1"/>
      <c r="Q862" s="1"/>
    </row>
    <row r="863" spans="1:17" x14ac:dyDescent="0.25">
      <c r="A863" s="1"/>
      <c r="B863" s="1"/>
      <c r="C863" s="1"/>
      <c r="D863" s="1"/>
      <c r="E863" s="1"/>
      <c r="F863" s="1"/>
      <c r="G863" s="1"/>
      <c r="H863" s="2"/>
      <c r="I863" s="2"/>
      <c r="J863" s="2"/>
      <c r="K863" s="1"/>
      <c r="L863" s="1"/>
      <c r="M863" s="1"/>
      <c r="N863" s="1"/>
      <c r="O863" s="1"/>
      <c r="P863" s="1"/>
      <c r="Q863" s="1"/>
    </row>
    <row r="864" spans="1:17" x14ac:dyDescent="0.25">
      <c r="A864" s="1"/>
      <c r="B864" s="1"/>
      <c r="C864" s="1"/>
      <c r="D864" s="1"/>
      <c r="E864" s="1"/>
      <c r="F864" s="1"/>
      <c r="G864" s="1"/>
      <c r="H864" s="2"/>
      <c r="I864" s="2"/>
      <c r="J864" s="2"/>
      <c r="K864" s="1"/>
      <c r="L864" s="1"/>
      <c r="M864" s="1"/>
      <c r="N864" s="1"/>
      <c r="O864" s="1"/>
      <c r="P864" s="1"/>
      <c r="Q864" s="1"/>
    </row>
    <row r="865" spans="1:17" x14ac:dyDescent="0.25">
      <c r="A865" s="1"/>
      <c r="B865" s="1"/>
      <c r="C865" s="1"/>
      <c r="D865" s="1"/>
      <c r="E865" s="1"/>
      <c r="F865" s="1"/>
      <c r="G865" s="1"/>
      <c r="H865" s="2"/>
      <c r="I865" s="2"/>
      <c r="J865" s="2"/>
      <c r="K865" s="1"/>
      <c r="L865" s="1"/>
      <c r="M865" s="1"/>
      <c r="N865" s="1"/>
      <c r="O865" s="1"/>
      <c r="P865" s="1"/>
      <c r="Q865" s="1"/>
    </row>
    <row r="866" spans="1:17" x14ac:dyDescent="0.25">
      <c r="A866" s="1"/>
      <c r="B866" s="1"/>
      <c r="C866" s="1"/>
      <c r="D866" s="1"/>
      <c r="E866" s="1"/>
      <c r="F866" s="1"/>
      <c r="G866" s="1"/>
      <c r="H866" s="2"/>
      <c r="I866" s="2"/>
      <c r="J866" s="2"/>
      <c r="K866" s="1"/>
      <c r="L866" s="1"/>
      <c r="M866" s="1"/>
      <c r="N866" s="1"/>
      <c r="O866" s="1"/>
      <c r="P866" s="1"/>
      <c r="Q866" s="1"/>
    </row>
    <row r="867" spans="1:17" x14ac:dyDescent="0.25">
      <c r="A867" s="1"/>
      <c r="B867" s="1"/>
      <c r="C867" s="1"/>
      <c r="D867" s="1"/>
      <c r="E867" s="1"/>
      <c r="F867" s="1"/>
      <c r="G867" s="1"/>
      <c r="H867" s="2"/>
      <c r="I867" s="2"/>
      <c r="J867" s="2"/>
      <c r="K867" s="1"/>
      <c r="L867" s="1"/>
      <c r="M867" s="1"/>
      <c r="N867" s="1"/>
      <c r="O867" s="1"/>
      <c r="P867" s="1"/>
      <c r="Q867" s="1"/>
    </row>
    <row r="868" spans="1:17" x14ac:dyDescent="0.25">
      <c r="A868" s="1"/>
      <c r="B868" s="1"/>
      <c r="C868" s="1"/>
      <c r="D868" s="1"/>
      <c r="E868" s="1"/>
      <c r="F868" s="1"/>
      <c r="G868" s="1"/>
      <c r="H868" s="2"/>
      <c r="I868" s="2"/>
      <c r="J868" s="2"/>
      <c r="K868" s="1"/>
      <c r="L868" s="1"/>
      <c r="M868" s="1"/>
      <c r="N868" s="1"/>
      <c r="O868" s="1"/>
      <c r="P868" s="1"/>
      <c r="Q868" s="1"/>
    </row>
    <row r="869" spans="1:17" x14ac:dyDescent="0.25">
      <c r="A869" s="1"/>
      <c r="B869" s="1"/>
      <c r="C869" s="1"/>
      <c r="D869" s="1"/>
      <c r="E869" s="1"/>
      <c r="F869" s="1"/>
      <c r="G869" s="1"/>
      <c r="H869" s="2"/>
      <c r="I869" s="2"/>
      <c r="J869" s="2"/>
      <c r="K869" s="1"/>
      <c r="L869" s="1"/>
      <c r="M869" s="1"/>
      <c r="N869" s="1"/>
      <c r="O869" s="1"/>
      <c r="P869" s="1"/>
      <c r="Q869" s="1"/>
    </row>
    <row r="870" spans="1:17" x14ac:dyDescent="0.25">
      <c r="A870" s="1"/>
      <c r="B870" s="1"/>
      <c r="C870" s="1"/>
      <c r="D870" s="1"/>
      <c r="E870" s="1"/>
      <c r="F870" s="1"/>
      <c r="G870" s="1"/>
      <c r="H870" s="2"/>
      <c r="I870" s="2"/>
      <c r="J870" s="2"/>
      <c r="K870" s="1"/>
      <c r="L870" s="1"/>
      <c r="M870" s="1"/>
      <c r="N870" s="1"/>
      <c r="O870" s="1"/>
      <c r="P870" s="1"/>
      <c r="Q870" s="1"/>
    </row>
    <row r="871" spans="1:17" x14ac:dyDescent="0.25">
      <c r="A871" s="1"/>
      <c r="B871" s="1"/>
      <c r="C871" s="1"/>
      <c r="D871" s="1"/>
      <c r="E871" s="1"/>
      <c r="F871" s="1"/>
      <c r="G871" s="1"/>
      <c r="H871" s="2"/>
      <c r="I871" s="2"/>
      <c r="J871" s="2"/>
      <c r="K871" s="1"/>
      <c r="L871" s="1"/>
      <c r="M871" s="1"/>
      <c r="N871" s="1"/>
      <c r="O871" s="1"/>
      <c r="P871" s="1"/>
      <c r="Q871" s="1"/>
    </row>
    <row r="872" spans="1:17" x14ac:dyDescent="0.25">
      <c r="A872" s="1"/>
      <c r="B872" s="1"/>
      <c r="C872" s="1"/>
      <c r="D872" s="1"/>
      <c r="E872" s="1"/>
      <c r="F872" s="1"/>
      <c r="G872" s="1"/>
      <c r="H872" s="2"/>
      <c r="I872" s="2"/>
      <c r="J872" s="2"/>
      <c r="K872" s="1"/>
      <c r="L872" s="1"/>
      <c r="M872" s="1"/>
      <c r="N872" s="1"/>
      <c r="O872" s="1"/>
      <c r="P872" s="1"/>
      <c r="Q872" s="1"/>
    </row>
    <row r="873" spans="1:17" x14ac:dyDescent="0.25">
      <c r="A873" s="1"/>
      <c r="B873" s="1"/>
      <c r="C873" s="1"/>
      <c r="D873" s="1"/>
      <c r="E873" s="1"/>
      <c r="F873" s="1"/>
      <c r="G873" s="1"/>
      <c r="H873" s="2"/>
      <c r="I873" s="2"/>
      <c r="J873" s="2"/>
      <c r="K873" s="1"/>
      <c r="L873" s="1"/>
      <c r="M873" s="1"/>
      <c r="N873" s="1"/>
      <c r="O873" s="1"/>
      <c r="P873" s="1"/>
      <c r="Q873" s="1"/>
    </row>
    <row r="874" spans="1:17" x14ac:dyDescent="0.25">
      <c r="A874" s="1"/>
      <c r="B874" s="1"/>
      <c r="C874" s="1"/>
      <c r="D874" s="1"/>
      <c r="E874" s="1"/>
      <c r="F874" s="1"/>
      <c r="G874" s="1"/>
      <c r="H874" s="2"/>
      <c r="I874" s="2"/>
      <c r="J874" s="2"/>
      <c r="K874" s="1"/>
      <c r="L874" s="1"/>
      <c r="M874" s="1"/>
      <c r="N874" s="1"/>
      <c r="O874" s="1"/>
      <c r="P874" s="1"/>
      <c r="Q874" s="1"/>
    </row>
    <row r="875" spans="1:17" x14ac:dyDescent="0.25">
      <c r="A875" s="1"/>
      <c r="B875" s="1"/>
      <c r="C875" s="1"/>
      <c r="D875" s="1"/>
      <c r="E875" s="1"/>
      <c r="F875" s="1"/>
      <c r="G875" s="1"/>
      <c r="H875" s="2"/>
      <c r="I875" s="2"/>
      <c r="J875" s="2"/>
      <c r="K875" s="1"/>
      <c r="L875" s="1"/>
      <c r="M875" s="1"/>
      <c r="N875" s="1"/>
      <c r="O875" s="1"/>
      <c r="P875" s="1"/>
      <c r="Q875" s="1"/>
    </row>
    <row r="876" spans="1:17" x14ac:dyDescent="0.25">
      <c r="A876" s="1"/>
      <c r="B876" s="1"/>
      <c r="C876" s="1"/>
      <c r="D876" s="1"/>
      <c r="E876" s="1"/>
      <c r="F876" s="1"/>
      <c r="G876" s="1"/>
      <c r="H876" s="2"/>
      <c r="I876" s="2"/>
      <c r="J876" s="2"/>
      <c r="K876" s="1"/>
      <c r="L876" s="1"/>
      <c r="M876" s="1"/>
      <c r="N876" s="1"/>
      <c r="O876" s="1"/>
      <c r="P876" s="1"/>
      <c r="Q876" s="1"/>
    </row>
    <row r="877" spans="1:17" x14ac:dyDescent="0.25">
      <c r="A877" s="1"/>
      <c r="B877" s="1"/>
      <c r="C877" s="1"/>
      <c r="D877" s="1"/>
      <c r="E877" s="1"/>
      <c r="F877" s="1"/>
      <c r="G877" s="1"/>
      <c r="H877" s="2"/>
      <c r="I877" s="2"/>
      <c r="J877" s="2"/>
      <c r="K877" s="1"/>
      <c r="L877" s="1"/>
      <c r="M877" s="1"/>
      <c r="N877" s="1"/>
      <c r="O877" s="1"/>
      <c r="P877" s="1"/>
      <c r="Q877" s="1"/>
    </row>
    <row r="878" spans="1:17" x14ac:dyDescent="0.25">
      <c r="A878" s="1"/>
      <c r="B878" s="1"/>
      <c r="C878" s="1"/>
      <c r="D878" s="1"/>
      <c r="E878" s="1"/>
      <c r="F878" s="1"/>
      <c r="G878" s="1"/>
      <c r="H878" s="2"/>
      <c r="I878" s="2"/>
      <c r="J878" s="2"/>
      <c r="K878" s="1"/>
      <c r="L878" s="1"/>
      <c r="M878" s="1"/>
      <c r="N878" s="1"/>
      <c r="O878" s="1"/>
      <c r="P878" s="1"/>
      <c r="Q878" s="1"/>
    </row>
    <row r="879" spans="1:17" x14ac:dyDescent="0.25">
      <c r="A879" s="1"/>
      <c r="B879" s="1"/>
      <c r="C879" s="1"/>
      <c r="D879" s="1"/>
      <c r="E879" s="1"/>
      <c r="F879" s="1"/>
      <c r="G879" s="1"/>
      <c r="H879" s="2"/>
      <c r="I879" s="2"/>
      <c r="J879" s="2"/>
      <c r="K879" s="1"/>
      <c r="L879" s="1"/>
      <c r="M879" s="1"/>
      <c r="N879" s="1"/>
      <c r="O879" s="1"/>
      <c r="P879" s="1"/>
      <c r="Q879" s="1"/>
    </row>
    <row r="880" spans="1:17" x14ac:dyDescent="0.25">
      <c r="A880" s="1"/>
      <c r="B880" s="1"/>
      <c r="C880" s="1"/>
      <c r="D880" s="1"/>
      <c r="E880" s="1"/>
      <c r="F880" s="1"/>
      <c r="G880" s="1"/>
      <c r="H880" s="1"/>
      <c r="I880" s="2"/>
      <c r="J880" s="2"/>
      <c r="K880" s="1"/>
      <c r="L880" s="1"/>
      <c r="M880" s="1"/>
      <c r="N880" s="1"/>
      <c r="O880" s="1"/>
      <c r="P880" s="1"/>
      <c r="Q880" s="1"/>
    </row>
    <row r="881" spans="1:17" x14ac:dyDescent="0.25">
      <c r="A881" s="1"/>
      <c r="B881" s="1"/>
      <c r="C881" s="1"/>
      <c r="D881" s="1"/>
      <c r="E881" s="1"/>
      <c r="F881" s="1"/>
      <c r="G881" s="1"/>
      <c r="H881" s="2"/>
      <c r="I881" s="2"/>
      <c r="J881" s="2"/>
      <c r="K881" s="1"/>
      <c r="L881" s="1"/>
      <c r="M881" s="1"/>
      <c r="N881" s="1"/>
      <c r="O881" s="1"/>
      <c r="P881" s="1"/>
      <c r="Q881" s="1"/>
    </row>
    <row r="882" spans="1:17" x14ac:dyDescent="0.25">
      <c r="A882" s="1"/>
      <c r="B882" s="1"/>
      <c r="C882" s="1"/>
      <c r="D882" s="1"/>
      <c r="E882" s="1"/>
      <c r="F882" s="1"/>
      <c r="G882" s="1"/>
      <c r="H882" s="2"/>
      <c r="I882" s="2"/>
      <c r="J882" s="2"/>
      <c r="K882" s="1"/>
      <c r="L882" s="1"/>
      <c r="M882" s="1"/>
      <c r="N882" s="1"/>
      <c r="O882" s="1"/>
      <c r="P882" s="1"/>
      <c r="Q882" s="1"/>
    </row>
    <row r="883" spans="1:17" x14ac:dyDescent="0.25">
      <c r="A883" s="1"/>
      <c r="B883" s="1"/>
      <c r="C883" s="1"/>
      <c r="D883" s="1"/>
      <c r="E883" s="1"/>
      <c r="F883" s="1"/>
      <c r="G883" s="1"/>
      <c r="H883" s="2"/>
      <c r="I883" s="2"/>
      <c r="J883" s="2"/>
      <c r="K883" s="1"/>
      <c r="L883" s="1"/>
      <c r="M883" s="1"/>
      <c r="N883" s="1"/>
      <c r="O883" s="1"/>
      <c r="P883" s="1"/>
      <c r="Q883" s="1"/>
    </row>
    <row r="884" spans="1:17" x14ac:dyDescent="0.25">
      <c r="A884" s="1"/>
      <c r="B884" s="1"/>
      <c r="C884" s="1"/>
      <c r="D884" s="1"/>
      <c r="E884" s="1"/>
      <c r="F884" s="1"/>
      <c r="G884" s="1"/>
      <c r="H884" s="2"/>
      <c r="I884" s="2"/>
      <c r="J884" s="2"/>
      <c r="K884" s="1"/>
      <c r="L884" s="1"/>
      <c r="M884" s="1"/>
      <c r="N884" s="1"/>
      <c r="O884" s="1"/>
      <c r="P884" s="1"/>
      <c r="Q884" s="1"/>
    </row>
    <row r="885" spans="1:17" x14ac:dyDescent="0.25">
      <c r="A885" s="1"/>
      <c r="B885" s="1"/>
      <c r="C885" s="1"/>
      <c r="D885" s="1"/>
      <c r="E885" s="1"/>
      <c r="F885" s="1"/>
      <c r="G885" s="1"/>
      <c r="H885" s="2"/>
      <c r="I885" s="2"/>
      <c r="J885" s="2"/>
      <c r="K885" s="1"/>
      <c r="L885" s="1"/>
      <c r="M885" s="1"/>
      <c r="N885" s="1"/>
      <c r="O885" s="1"/>
      <c r="P885" s="1"/>
      <c r="Q885" s="1"/>
    </row>
    <row r="886" spans="1:17" x14ac:dyDescent="0.25">
      <c r="A886" s="1"/>
      <c r="B886" s="1"/>
      <c r="C886" s="1"/>
      <c r="D886" s="1"/>
      <c r="E886" s="1"/>
      <c r="F886" s="1"/>
      <c r="G886" s="1"/>
      <c r="H886" s="2"/>
      <c r="I886" s="2"/>
      <c r="J886" s="2"/>
      <c r="K886" s="1"/>
      <c r="L886" s="1"/>
      <c r="M886" s="1"/>
      <c r="N886" s="1"/>
      <c r="O886" s="1"/>
      <c r="P886" s="1"/>
      <c r="Q886" s="1"/>
    </row>
    <row r="887" spans="1:17" x14ac:dyDescent="0.25">
      <c r="A887" s="1"/>
      <c r="B887" s="1"/>
      <c r="C887" s="1"/>
      <c r="D887" s="1"/>
      <c r="E887" s="1"/>
      <c r="F887" s="1"/>
      <c r="G887" s="1"/>
      <c r="H887" s="2"/>
      <c r="I887" s="2"/>
      <c r="J887" s="2"/>
      <c r="K887" s="1"/>
      <c r="L887" s="1"/>
      <c r="M887" s="1"/>
      <c r="N887" s="1"/>
      <c r="O887" s="1"/>
      <c r="P887" s="1"/>
      <c r="Q887" s="1"/>
    </row>
    <row r="888" spans="1:17" x14ac:dyDescent="0.25">
      <c r="A888" s="1"/>
      <c r="B888" s="1"/>
      <c r="C888" s="1"/>
      <c r="D888" s="1"/>
      <c r="E888" s="1"/>
      <c r="F888" s="1"/>
      <c r="G888" s="1"/>
      <c r="H888" s="2"/>
      <c r="I888" s="2"/>
      <c r="J888" s="2"/>
      <c r="K888" s="1"/>
      <c r="L888" s="1"/>
      <c r="M888" s="1"/>
      <c r="N888" s="1"/>
      <c r="O888" s="1"/>
      <c r="P888" s="1"/>
      <c r="Q888" s="1"/>
    </row>
    <row r="889" spans="1:17" x14ac:dyDescent="0.25">
      <c r="A889" s="1"/>
      <c r="B889" s="1"/>
      <c r="C889" s="1"/>
      <c r="D889" s="1"/>
      <c r="E889" s="1"/>
      <c r="F889" s="1"/>
      <c r="G889" s="1"/>
      <c r="H889" s="2"/>
      <c r="I889" s="2"/>
      <c r="J889" s="2"/>
      <c r="K889" s="1"/>
      <c r="L889" s="1"/>
      <c r="M889" s="1"/>
      <c r="N889" s="1"/>
      <c r="O889" s="1"/>
      <c r="P889" s="1"/>
      <c r="Q889" s="1"/>
    </row>
    <row r="890" spans="1:17" x14ac:dyDescent="0.25">
      <c r="A890" s="1"/>
      <c r="B890" s="1"/>
      <c r="C890" s="1"/>
      <c r="D890" s="1"/>
      <c r="E890" s="1"/>
      <c r="F890" s="1"/>
      <c r="G890" s="1"/>
      <c r="H890" s="2"/>
      <c r="I890" s="2"/>
      <c r="J890" s="2"/>
      <c r="K890" s="1"/>
      <c r="L890" s="1"/>
      <c r="M890" s="1"/>
      <c r="N890" s="1"/>
      <c r="O890" s="1"/>
      <c r="P890" s="1"/>
      <c r="Q890" s="1"/>
    </row>
    <row r="891" spans="1:17" x14ac:dyDescent="0.25">
      <c r="A891" s="1"/>
      <c r="B891" s="1"/>
      <c r="C891" s="1"/>
      <c r="D891" s="1"/>
      <c r="E891" s="1"/>
      <c r="F891" s="1"/>
      <c r="G891" s="1"/>
      <c r="H891" s="2"/>
      <c r="I891" s="2"/>
      <c r="J891" s="2"/>
      <c r="K891" s="1"/>
      <c r="L891" s="1"/>
      <c r="M891" s="1"/>
      <c r="N891" s="1"/>
      <c r="O891" s="1"/>
      <c r="P891" s="1"/>
      <c r="Q891" s="1"/>
    </row>
    <row r="892" spans="1:17" x14ac:dyDescent="0.25">
      <c r="A892" s="1"/>
      <c r="B892" s="1"/>
      <c r="C892" s="1"/>
      <c r="D892" s="1"/>
      <c r="E892" s="1"/>
      <c r="F892" s="1"/>
      <c r="G892" s="1"/>
      <c r="H892" s="2"/>
      <c r="I892" s="2"/>
      <c r="J892" s="2"/>
      <c r="K892" s="1"/>
      <c r="L892" s="1"/>
      <c r="M892" s="1"/>
      <c r="N892" s="1"/>
      <c r="O892" s="1"/>
      <c r="P892" s="1"/>
      <c r="Q892" s="1"/>
    </row>
    <row r="893" spans="1:17" x14ac:dyDescent="0.25">
      <c r="A893" s="1"/>
      <c r="B893" s="1"/>
      <c r="C893" s="1"/>
      <c r="D893" s="1"/>
      <c r="E893" s="1"/>
      <c r="F893" s="1"/>
      <c r="G893" s="1"/>
      <c r="H893" s="2"/>
      <c r="I893" s="2"/>
      <c r="J893" s="2"/>
      <c r="K893" s="1"/>
      <c r="L893" s="1"/>
      <c r="M893" s="1"/>
      <c r="N893" s="1"/>
      <c r="O893" s="1"/>
      <c r="P893" s="1"/>
      <c r="Q893" s="1"/>
    </row>
    <row r="894" spans="1:17" x14ac:dyDescent="0.25">
      <c r="A894" s="1"/>
      <c r="B894" s="1"/>
      <c r="C894" s="1"/>
      <c r="D894" s="1"/>
      <c r="E894" s="1"/>
      <c r="F894" s="1"/>
      <c r="G894" s="1"/>
      <c r="H894" s="2"/>
      <c r="I894" s="2"/>
      <c r="J894" s="2"/>
      <c r="K894" s="1"/>
      <c r="L894" s="1"/>
      <c r="M894" s="1"/>
      <c r="N894" s="1"/>
      <c r="O894" s="1"/>
      <c r="P894" s="1"/>
      <c r="Q894" s="1"/>
    </row>
    <row r="895" spans="1:17" x14ac:dyDescent="0.25">
      <c r="A895" s="1"/>
      <c r="B895" s="1"/>
      <c r="C895" s="1"/>
      <c r="D895" s="1"/>
      <c r="E895" s="1"/>
      <c r="F895" s="1"/>
      <c r="G895" s="1"/>
      <c r="H895" s="2"/>
      <c r="I895" s="2"/>
      <c r="J895" s="2"/>
      <c r="K895" s="1"/>
      <c r="L895" s="1"/>
      <c r="M895" s="1"/>
      <c r="N895" s="1"/>
      <c r="O895" s="1"/>
      <c r="P895" s="1"/>
      <c r="Q895" s="1"/>
    </row>
    <row r="896" spans="1:17" x14ac:dyDescent="0.25">
      <c r="A896" s="1"/>
      <c r="B896" s="1"/>
      <c r="C896" s="1"/>
      <c r="D896" s="1"/>
      <c r="E896" s="1"/>
      <c r="F896" s="1"/>
      <c r="G896" s="1"/>
      <c r="H896" s="2"/>
      <c r="I896" s="2"/>
      <c r="J896" s="2"/>
      <c r="K896" s="1"/>
      <c r="L896" s="1"/>
      <c r="M896" s="1"/>
      <c r="N896" s="1"/>
      <c r="O896" s="1"/>
      <c r="P896" s="1"/>
      <c r="Q896" s="1"/>
    </row>
    <row r="897" spans="1:17" x14ac:dyDescent="0.25">
      <c r="A897" s="1"/>
      <c r="B897" s="1"/>
      <c r="C897" s="1"/>
      <c r="D897" s="1"/>
      <c r="E897" s="1"/>
      <c r="F897" s="1"/>
      <c r="G897" s="1"/>
      <c r="H897" s="2"/>
      <c r="I897" s="2"/>
      <c r="J897" s="2"/>
      <c r="K897" s="1"/>
      <c r="L897" s="1"/>
      <c r="M897" s="1"/>
      <c r="N897" s="1"/>
      <c r="O897" s="1"/>
      <c r="P897" s="1"/>
      <c r="Q897" s="1"/>
    </row>
    <row r="898" spans="1:17" x14ac:dyDescent="0.25">
      <c r="A898" s="1"/>
      <c r="B898" s="1"/>
      <c r="C898" s="1"/>
      <c r="D898" s="1"/>
      <c r="E898" s="1"/>
      <c r="F898" s="1"/>
      <c r="G898" s="1"/>
      <c r="H898" s="2"/>
      <c r="I898" s="2"/>
      <c r="J898" s="2"/>
      <c r="K898" s="1"/>
      <c r="L898" s="1"/>
      <c r="M898" s="1"/>
      <c r="N898" s="1"/>
      <c r="O898" s="1"/>
      <c r="P898" s="1"/>
      <c r="Q8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FACTURAS PROVEEDORES DOCUMENTOS</vt:lpstr>
      <vt:lpstr>FACTURAS PROVEEDORES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Genaro</cp:lastModifiedBy>
  <dcterms:modified xsi:type="dcterms:W3CDTF">2025-10-31T19:24:29Z</dcterms:modified>
</cp:coreProperties>
</file>